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کلاس دیتا\پاسخ تمارین\"/>
    </mc:Choice>
  </mc:AlternateContent>
  <xr:revisionPtr revIDLastSave="0" documentId="13_ncr:11_{DDF2A70F-3AE3-432F-9618-F4DF0BA85C1C}" xr6:coauthVersionLast="47" xr6:coauthVersionMax="47" xr10:uidLastSave="{00000000-0000-0000-0000-000000000000}"/>
  <bookViews>
    <workbookView xWindow="-108" yWindow="-108" windowWidth="23256" windowHeight="12456" activeTab="1" xr2:uid="{8EC07048-427E-456D-B6B0-ED7747BA6C77}"/>
  </bookViews>
  <sheets>
    <sheet name="Raw_Data" sheetId="6" r:id="rId1"/>
    <sheet name="Clean_Data" sheetId="8" r:id="rId2"/>
    <sheet name="Country_Lookup" sheetId="9" r:id="rId3"/>
    <sheet name="Dynamic_Analysis" sheetId="10" r:id="rId4"/>
    <sheet name="Validation" sheetId="11" r:id="rId5"/>
    <sheet name="Insights" sheetId="12" r:id="rId6"/>
    <sheet name="Documentation" sheetId="1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1" l="1"/>
  <c r="D5" i="11"/>
  <c r="E5" i="11"/>
  <c r="C6" i="11"/>
  <c r="E6" i="11" s="1"/>
  <c r="D6" i="11"/>
  <c r="C7" i="11"/>
  <c r="D7" i="11"/>
  <c r="E7" i="11" s="1"/>
  <c r="C8" i="11"/>
  <c r="D8" i="11"/>
  <c r="E8" i="11" s="1"/>
  <c r="C9" i="11"/>
  <c r="D9" i="11" a="1"/>
  <c r="D9" i="11"/>
  <c r="E9" i="11"/>
  <c r="C10" i="11"/>
  <c r="D10" i="11" a="1"/>
  <c r="D10" i="11" s="1"/>
  <c r="E10" i="11" s="1"/>
  <c r="C11" i="11"/>
  <c r="D11" i="11" a="1"/>
  <c r="D11" i="11"/>
  <c r="E11" i="11"/>
  <c r="C12" i="11"/>
  <c r="D12" i="11" a="1"/>
  <c r="D12" i="11" s="1"/>
  <c r="E12" i="11" s="1"/>
  <c r="C13" i="11"/>
  <c r="D13" i="11"/>
  <c r="E13" i="11" s="1"/>
  <c r="C14" i="11"/>
  <c r="E14" i="11" s="1"/>
  <c r="D14" i="11"/>
  <c r="C15" i="11"/>
  <c r="D15" i="11"/>
  <c r="E15" i="11"/>
  <c r="C16" i="11"/>
  <c r="D16" i="11"/>
  <c r="E16" i="11" s="1"/>
  <c r="A33" i="12" l="1"/>
  <c r="A32" i="12" a="1"/>
  <c r="A32" i="12" s="1"/>
  <c r="A31" i="12" a="1"/>
  <c r="A31" i="12" s="1"/>
  <c r="A30" i="12"/>
  <c r="A29" i="12"/>
  <c r="J9" i="12"/>
  <c r="G9" i="12"/>
  <c r="A9" i="12"/>
  <c r="J5" i="12"/>
  <c r="G5" i="12" a="1"/>
  <c r="G5" i="12" s="1"/>
  <c r="D5" i="12"/>
  <c r="D9" i="12" s="1"/>
  <c r="A5" i="12"/>
  <c r="H13" i="12" a="1"/>
  <c r="H13" i="12" s="1"/>
  <c r="E13" i="12" a="1"/>
  <c r="E13" i="12" s="1"/>
  <c r="A13" i="12" a="1"/>
  <c r="A13" i="12" s="1"/>
  <c r="I9" i="10" a="1"/>
  <c r="I9" i="10" s="1"/>
  <c r="J6" i="10"/>
  <c r="E8" i="10" a="1"/>
  <c r="E8" i="10" s="1"/>
  <c r="F5" i="10"/>
  <c r="A6" i="10" a="1"/>
  <c r="A6" i="10" s="1"/>
  <c r="X2" i="10" a="1"/>
  <c r="X2" i="10" s="1"/>
  <c r="C17" i="9"/>
  <c r="C16" i="9"/>
  <c r="C15" i="9"/>
  <c r="C14" i="9"/>
  <c r="C13" i="9"/>
  <c r="C12" i="9"/>
  <c r="C11" i="9"/>
  <c r="C10" i="9"/>
  <c r="C9" i="9"/>
  <c r="C8" i="9"/>
  <c r="C7" i="9"/>
  <c r="P1" i="9" a="1"/>
  <c r="P1" i="9" s="1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2" i="8"/>
  <c r="L5" i="8"/>
  <c r="L13" i="8"/>
  <c r="L14" i="8"/>
  <c r="L15" i="8"/>
  <c r="L16" i="8"/>
  <c r="L17" i="8"/>
  <c r="L18" i="8"/>
  <c r="L21" i="8"/>
  <c r="L29" i="8"/>
  <c r="L30" i="8"/>
  <c r="L31" i="8"/>
  <c r="L32" i="8"/>
  <c r="L33" i="8"/>
  <c r="L34" i="8"/>
  <c r="L45" i="8"/>
  <c r="L46" i="8"/>
  <c r="L47" i="8"/>
  <c r="L48" i="8"/>
  <c r="L49" i="8"/>
  <c r="L50" i="8"/>
  <c r="L61" i="8"/>
  <c r="L62" i="8"/>
  <c r="L63" i="8"/>
  <c r="L64" i="8"/>
  <c r="L65" i="8"/>
  <c r="L66" i="8"/>
  <c r="L77" i="8"/>
  <c r="L78" i="8"/>
  <c r="L79" i="8"/>
  <c r="L80" i="8"/>
  <c r="L81" i="8"/>
  <c r="L82" i="8"/>
  <c r="L93" i="8"/>
  <c r="L94" i="8"/>
  <c r="L95" i="8"/>
  <c r="L96" i="8"/>
  <c r="L97" i="8"/>
  <c r="L98" i="8"/>
  <c r="L109" i="8"/>
  <c r="L110" i="8"/>
  <c r="L111" i="8"/>
  <c r="L112" i="8"/>
  <c r="L113" i="8"/>
  <c r="L114" i="8"/>
  <c r="L125" i="8"/>
  <c r="L126" i="8"/>
  <c r="L127" i="8"/>
  <c r="L128" i="8"/>
  <c r="L129" i="8"/>
  <c r="L130" i="8"/>
  <c r="L141" i="8"/>
  <c r="L142" i="8"/>
  <c r="L143" i="8"/>
  <c r="L144" i="8"/>
  <c r="L145" i="8"/>
  <c r="L146" i="8"/>
  <c r="L157" i="8"/>
  <c r="L158" i="8"/>
  <c r="L159" i="8"/>
  <c r="L160" i="8"/>
  <c r="L161" i="8"/>
  <c r="L162" i="8"/>
  <c r="L173" i="8"/>
  <c r="L174" i="8"/>
  <c r="L175" i="8"/>
  <c r="L176" i="8"/>
  <c r="L177" i="8"/>
  <c r="L178" i="8"/>
  <c r="L189" i="8"/>
  <c r="L190" i="8"/>
  <c r="L191" i="8"/>
  <c r="L192" i="8"/>
  <c r="L193" i="8"/>
  <c r="L194" i="8"/>
  <c r="K5" i="8"/>
  <c r="K13" i="8"/>
  <c r="K14" i="8"/>
  <c r="K15" i="8"/>
  <c r="K21" i="8"/>
  <c r="K29" i="8"/>
  <c r="K30" i="8"/>
  <c r="K31" i="8"/>
  <c r="K37" i="8"/>
  <c r="K45" i="8"/>
  <c r="K46" i="8"/>
  <c r="K47" i="8"/>
  <c r="K53" i="8"/>
  <c r="K61" i="8"/>
  <c r="K62" i="8"/>
  <c r="K63" i="8"/>
  <c r="K69" i="8"/>
  <c r="K77" i="8"/>
  <c r="K78" i="8"/>
  <c r="K79" i="8"/>
  <c r="K85" i="8"/>
  <c r="K93" i="8"/>
  <c r="K94" i="8"/>
  <c r="K95" i="8"/>
  <c r="K101" i="8"/>
  <c r="K109" i="8"/>
  <c r="K110" i="8"/>
  <c r="K111" i="8"/>
  <c r="K117" i="8"/>
  <c r="K125" i="8"/>
  <c r="K126" i="8"/>
  <c r="K127" i="8"/>
  <c r="K133" i="8"/>
  <c r="K141" i="8"/>
  <c r="K142" i="8"/>
  <c r="K143" i="8"/>
  <c r="K149" i="8"/>
  <c r="K157" i="8"/>
  <c r="K158" i="8"/>
  <c r="K159" i="8"/>
  <c r="K165" i="8"/>
  <c r="K173" i="8"/>
  <c r="K174" i="8"/>
  <c r="K175" i="8"/>
  <c r="K181" i="8"/>
  <c r="K189" i="8"/>
  <c r="K190" i="8"/>
  <c r="K191" i="8"/>
  <c r="K2" i="8"/>
  <c r="M3" i="8"/>
  <c r="L3" i="8" s="1"/>
  <c r="M4" i="8"/>
  <c r="L4" i="8" s="1"/>
  <c r="M5" i="8"/>
  <c r="M6" i="8"/>
  <c r="L6" i="8" s="1"/>
  <c r="M7" i="8"/>
  <c r="L7" i="8" s="1"/>
  <c r="M8" i="8"/>
  <c r="L8" i="8" s="1"/>
  <c r="M9" i="8"/>
  <c r="L9" i="8" s="1"/>
  <c r="M10" i="8"/>
  <c r="K10" i="8" s="1"/>
  <c r="M11" i="8"/>
  <c r="K11" i="8" s="1"/>
  <c r="M12" i="8"/>
  <c r="K12" i="8" s="1"/>
  <c r="M13" i="8"/>
  <c r="M14" i="8"/>
  <c r="M15" i="8"/>
  <c r="M16" i="8"/>
  <c r="K16" i="8" s="1"/>
  <c r="M17" i="8"/>
  <c r="K17" i="8" s="1"/>
  <c r="M18" i="8"/>
  <c r="K18" i="8" s="1"/>
  <c r="M19" i="8"/>
  <c r="L19" i="8" s="1"/>
  <c r="M20" i="8"/>
  <c r="L20" i="8" s="1"/>
  <c r="M21" i="8"/>
  <c r="M22" i="8"/>
  <c r="L22" i="8" s="1"/>
  <c r="M23" i="8"/>
  <c r="L23" i="8" s="1"/>
  <c r="M24" i="8"/>
  <c r="L24" i="8" s="1"/>
  <c r="M25" i="8"/>
  <c r="L25" i="8" s="1"/>
  <c r="M26" i="8"/>
  <c r="K26" i="8" s="1"/>
  <c r="M27" i="8"/>
  <c r="L27" i="8" s="1"/>
  <c r="M28" i="8"/>
  <c r="K28" i="8" s="1"/>
  <c r="M29" i="8"/>
  <c r="M30" i="8"/>
  <c r="M31" i="8"/>
  <c r="M32" i="8"/>
  <c r="K32" i="8" s="1"/>
  <c r="M33" i="8"/>
  <c r="K33" i="8" s="1"/>
  <c r="M34" i="8"/>
  <c r="K34" i="8" s="1"/>
  <c r="M35" i="8"/>
  <c r="L35" i="8" s="1"/>
  <c r="M36" i="8"/>
  <c r="L36" i="8" s="1"/>
  <c r="M37" i="8"/>
  <c r="L37" i="8" s="1"/>
  <c r="M38" i="8"/>
  <c r="L38" i="8" s="1"/>
  <c r="M39" i="8"/>
  <c r="L39" i="8" s="1"/>
  <c r="M40" i="8"/>
  <c r="L40" i="8" s="1"/>
  <c r="M41" i="8"/>
  <c r="L41" i="8" s="1"/>
  <c r="M42" i="8"/>
  <c r="K42" i="8" s="1"/>
  <c r="M43" i="8"/>
  <c r="K43" i="8" s="1"/>
  <c r="M44" i="8"/>
  <c r="K44" i="8" s="1"/>
  <c r="M45" i="8"/>
  <c r="M46" i="8"/>
  <c r="M47" i="8"/>
  <c r="M48" i="8"/>
  <c r="K48" i="8" s="1"/>
  <c r="M49" i="8"/>
  <c r="K49" i="8" s="1"/>
  <c r="M50" i="8"/>
  <c r="K50" i="8" s="1"/>
  <c r="M51" i="8"/>
  <c r="L51" i="8" s="1"/>
  <c r="M52" i="8"/>
  <c r="L52" i="8" s="1"/>
  <c r="M53" i="8"/>
  <c r="L53" i="8" s="1"/>
  <c r="M54" i="8"/>
  <c r="L54" i="8" s="1"/>
  <c r="M55" i="8"/>
  <c r="L55" i="8" s="1"/>
  <c r="M56" i="8"/>
  <c r="L56" i="8" s="1"/>
  <c r="M57" i="8"/>
  <c r="L57" i="8" s="1"/>
  <c r="M58" i="8"/>
  <c r="K58" i="8" s="1"/>
  <c r="M59" i="8"/>
  <c r="K59" i="8" s="1"/>
  <c r="M60" i="8"/>
  <c r="K60" i="8" s="1"/>
  <c r="M61" i="8"/>
  <c r="M62" i="8"/>
  <c r="M63" i="8"/>
  <c r="M64" i="8"/>
  <c r="K64" i="8" s="1"/>
  <c r="M65" i="8"/>
  <c r="K65" i="8" s="1"/>
  <c r="M66" i="8"/>
  <c r="K66" i="8" s="1"/>
  <c r="M67" i="8"/>
  <c r="L67" i="8" s="1"/>
  <c r="M68" i="8"/>
  <c r="L68" i="8" s="1"/>
  <c r="M69" i="8"/>
  <c r="L69" i="8" s="1"/>
  <c r="M70" i="8"/>
  <c r="L70" i="8" s="1"/>
  <c r="M71" i="8"/>
  <c r="L71" i="8" s="1"/>
  <c r="M72" i="8"/>
  <c r="L72" i="8" s="1"/>
  <c r="M73" i="8"/>
  <c r="L73" i="8" s="1"/>
  <c r="M74" i="8"/>
  <c r="K74" i="8" s="1"/>
  <c r="M75" i="8"/>
  <c r="K75" i="8" s="1"/>
  <c r="M76" i="8"/>
  <c r="L76" i="8" s="1"/>
  <c r="M77" i="8"/>
  <c r="M78" i="8"/>
  <c r="M79" i="8"/>
  <c r="M80" i="8"/>
  <c r="K80" i="8" s="1"/>
  <c r="M81" i="8"/>
  <c r="K81" i="8" s="1"/>
  <c r="M82" i="8"/>
  <c r="K82" i="8" s="1"/>
  <c r="M83" i="8"/>
  <c r="L83" i="8" s="1"/>
  <c r="M84" i="8"/>
  <c r="L84" i="8" s="1"/>
  <c r="M85" i="8"/>
  <c r="L85" i="8" s="1"/>
  <c r="M86" i="8"/>
  <c r="L86" i="8" s="1"/>
  <c r="M87" i="8"/>
  <c r="L87" i="8" s="1"/>
  <c r="M88" i="8"/>
  <c r="L88" i="8" s="1"/>
  <c r="M89" i="8"/>
  <c r="L89" i="8" s="1"/>
  <c r="M90" i="8"/>
  <c r="K90" i="8" s="1"/>
  <c r="M91" i="8"/>
  <c r="K91" i="8" s="1"/>
  <c r="M92" i="8"/>
  <c r="K92" i="8" s="1"/>
  <c r="M93" i="8"/>
  <c r="M94" i="8"/>
  <c r="M95" i="8"/>
  <c r="M96" i="8"/>
  <c r="K96" i="8" s="1"/>
  <c r="M97" i="8"/>
  <c r="K97" i="8" s="1"/>
  <c r="M98" i="8"/>
  <c r="K98" i="8" s="1"/>
  <c r="M99" i="8"/>
  <c r="L99" i="8" s="1"/>
  <c r="M100" i="8"/>
  <c r="L100" i="8" s="1"/>
  <c r="M101" i="8"/>
  <c r="L101" i="8" s="1"/>
  <c r="M102" i="8"/>
  <c r="L102" i="8" s="1"/>
  <c r="M103" i="8"/>
  <c r="L103" i="8" s="1"/>
  <c r="M104" i="8"/>
  <c r="L104" i="8" s="1"/>
  <c r="M105" i="8"/>
  <c r="L105" i="8" s="1"/>
  <c r="M106" i="8"/>
  <c r="K106" i="8" s="1"/>
  <c r="M107" i="8"/>
  <c r="K107" i="8" s="1"/>
  <c r="M108" i="8"/>
  <c r="K108" i="8" s="1"/>
  <c r="M109" i="8"/>
  <c r="M110" i="8"/>
  <c r="M111" i="8"/>
  <c r="M112" i="8"/>
  <c r="K112" i="8" s="1"/>
  <c r="M113" i="8"/>
  <c r="K113" i="8" s="1"/>
  <c r="M114" i="8"/>
  <c r="K114" i="8" s="1"/>
  <c r="M115" i="8"/>
  <c r="L115" i="8" s="1"/>
  <c r="M116" i="8"/>
  <c r="L116" i="8" s="1"/>
  <c r="M117" i="8"/>
  <c r="L117" i="8" s="1"/>
  <c r="M118" i="8"/>
  <c r="L118" i="8" s="1"/>
  <c r="M119" i="8"/>
  <c r="L119" i="8" s="1"/>
  <c r="M120" i="8"/>
  <c r="L120" i="8" s="1"/>
  <c r="M121" i="8"/>
  <c r="L121" i="8" s="1"/>
  <c r="M122" i="8"/>
  <c r="K122" i="8" s="1"/>
  <c r="M123" i="8"/>
  <c r="L123" i="8" s="1"/>
  <c r="M124" i="8"/>
  <c r="L124" i="8" s="1"/>
  <c r="M125" i="8"/>
  <c r="M126" i="8"/>
  <c r="M127" i="8"/>
  <c r="M128" i="8"/>
  <c r="K128" i="8" s="1"/>
  <c r="M129" i="8"/>
  <c r="K129" i="8" s="1"/>
  <c r="M130" i="8"/>
  <c r="K130" i="8" s="1"/>
  <c r="M131" i="8"/>
  <c r="L131" i="8" s="1"/>
  <c r="M132" i="8"/>
  <c r="L132" i="8" s="1"/>
  <c r="M133" i="8"/>
  <c r="L133" i="8" s="1"/>
  <c r="M134" i="8"/>
  <c r="L134" i="8" s="1"/>
  <c r="M135" i="8"/>
  <c r="L135" i="8" s="1"/>
  <c r="M136" i="8"/>
  <c r="L136" i="8" s="1"/>
  <c r="M137" i="8"/>
  <c r="L137" i="8" s="1"/>
  <c r="M138" i="8"/>
  <c r="K138" i="8" s="1"/>
  <c r="M139" i="8"/>
  <c r="K139" i="8" s="1"/>
  <c r="M140" i="8"/>
  <c r="K140" i="8" s="1"/>
  <c r="M141" i="8"/>
  <c r="M142" i="8"/>
  <c r="M143" i="8"/>
  <c r="M144" i="8"/>
  <c r="K144" i="8" s="1"/>
  <c r="M145" i="8"/>
  <c r="K145" i="8" s="1"/>
  <c r="M146" i="8"/>
  <c r="K146" i="8" s="1"/>
  <c r="M147" i="8"/>
  <c r="L147" i="8" s="1"/>
  <c r="M148" i="8"/>
  <c r="L148" i="8" s="1"/>
  <c r="M149" i="8"/>
  <c r="L149" i="8" s="1"/>
  <c r="M150" i="8"/>
  <c r="L150" i="8" s="1"/>
  <c r="M151" i="8"/>
  <c r="L151" i="8" s="1"/>
  <c r="M152" i="8"/>
  <c r="L152" i="8" s="1"/>
  <c r="M153" i="8"/>
  <c r="L153" i="8" s="1"/>
  <c r="M154" i="8"/>
  <c r="K154" i="8" s="1"/>
  <c r="M155" i="8"/>
  <c r="K155" i="8" s="1"/>
  <c r="M156" i="8"/>
  <c r="K156" i="8" s="1"/>
  <c r="M157" i="8"/>
  <c r="M158" i="8"/>
  <c r="M159" i="8"/>
  <c r="M160" i="8"/>
  <c r="K160" i="8" s="1"/>
  <c r="M161" i="8"/>
  <c r="K161" i="8" s="1"/>
  <c r="M162" i="8"/>
  <c r="K162" i="8" s="1"/>
  <c r="M163" i="8"/>
  <c r="L163" i="8" s="1"/>
  <c r="M164" i="8"/>
  <c r="L164" i="8" s="1"/>
  <c r="M165" i="8"/>
  <c r="L165" i="8" s="1"/>
  <c r="M166" i="8"/>
  <c r="L166" i="8" s="1"/>
  <c r="M167" i="8"/>
  <c r="K167" i="8" s="1"/>
  <c r="M168" i="8"/>
  <c r="L168" i="8" s="1"/>
  <c r="M169" i="8"/>
  <c r="L169" i="8" s="1"/>
  <c r="M170" i="8"/>
  <c r="K170" i="8" s="1"/>
  <c r="M171" i="8"/>
  <c r="K171" i="8" s="1"/>
  <c r="M172" i="8"/>
  <c r="L172" i="8" s="1"/>
  <c r="M173" i="8"/>
  <c r="M174" i="8"/>
  <c r="M175" i="8"/>
  <c r="M176" i="8"/>
  <c r="K176" i="8" s="1"/>
  <c r="M177" i="8"/>
  <c r="K177" i="8" s="1"/>
  <c r="M178" i="8"/>
  <c r="K178" i="8" s="1"/>
  <c r="M179" i="8"/>
  <c r="L179" i="8" s="1"/>
  <c r="M180" i="8"/>
  <c r="L180" i="8" s="1"/>
  <c r="M181" i="8"/>
  <c r="L181" i="8" s="1"/>
  <c r="M182" i="8"/>
  <c r="L182" i="8" s="1"/>
  <c r="M183" i="8"/>
  <c r="L183" i="8" s="1"/>
  <c r="M184" i="8"/>
  <c r="L184" i="8" s="1"/>
  <c r="M185" i="8"/>
  <c r="L185" i="8" s="1"/>
  <c r="M186" i="8"/>
  <c r="K186" i="8" s="1"/>
  <c r="M187" i="8"/>
  <c r="L187" i="8" s="1"/>
  <c r="M188" i="8"/>
  <c r="K188" i="8" s="1"/>
  <c r="M189" i="8"/>
  <c r="M190" i="8"/>
  <c r="M191" i="8"/>
  <c r="M192" i="8"/>
  <c r="K192" i="8" s="1"/>
  <c r="M193" i="8"/>
  <c r="K193" i="8" s="1"/>
  <c r="M194" i="8"/>
  <c r="K194" i="8" s="1"/>
  <c r="M195" i="8"/>
  <c r="L195" i="8" s="1"/>
  <c r="M196" i="8"/>
  <c r="L196" i="8" s="1"/>
  <c r="M2" i="8"/>
  <c r="L2" i="8" s="1"/>
  <c r="I3" i="8" a="1"/>
  <c r="I3" i="8" s="1"/>
  <c r="I4" i="8" a="1"/>
  <c r="I4" i="8" s="1"/>
  <c r="I5" i="8" a="1"/>
  <c r="I5" i="8" s="1"/>
  <c r="I6" i="8" a="1"/>
  <c r="I6" i="8" s="1"/>
  <c r="I7" i="8" a="1"/>
  <c r="I7" i="8" s="1"/>
  <c r="I8" i="8" a="1"/>
  <c r="I8" i="8" s="1"/>
  <c r="I9" i="8" a="1"/>
  <c r="I9" i="8" s="1"/>
  <c r="I10" i="8" a="1"/>
  <c r="I10" i="8" s="1"/>
  <c r="I11" i="8" a="1"/>
  <c r="I11" i="8" s="1"/>
  <c r="I12" i="8" a="1"/>
  <c r="I12" i="8" s="1"/>
  <c r="I13" i="8" a="1"/>
  <c r="I13" i="8" s="1"/>
  <c r="I14" i="8" a="1"/>
  <c r="I14" i="8" s="1"/>
  <c r="I15" i="8" a="1"/>
  <c r="I15" i="8" s="1"/>
  <c r="I16" i="8" a="1"/>
  <c r="I16" i="8" s="1"/>
  <c r="I17" i="8" a="1"/>
  <c r="I17" i="8" s="1"/>
  <c r="I18" i="8" a="1"/>
  <c r="I18" i="8" s="1"/>
  <c r="I19" i="8" a="1"/>
  <c r="I19" i="8" s="1"/>
  <c r="I20" i="8" a="1"/>
  <c r="I20" i="8" s="1"/>
  <c r="I21" i="8" a="1"/>
  <c r="I21" i="8" s="1"/>
  <c r="I22" i="8" a="1"/>
  <c r="I22" i="8" s="1"/>
  <c r="I23" i="8" a="1"/>
  <c r="I23" i="8" s="1"/>
  <c r="I24" i="8" a="1"/>
  <c r="I24" i="8" s="1"/>
  <c r="I25" i="8" a="1"/>
  <c r="I25" i="8" s="1"/>
  <c r="I26" i="8" a="1"/>
  <c r="I26" i="8" s="1"/>
  <c r="I27" i="8" a="1"/>
  <c r="I27" i="8"/>
  <c r="I28" i="8" a="1"/>
  <c r="I28" i="8" s="1"/>
  <c r="I29" i="8" a="1"/>
  <c r="I29" i="8" s="1"/>
  <c r="I30" i="8" a="1"/>
  <c r="I30" i="8" s="1"/>
  <c r="I31" i="8" a="1"/>
  <c r="I31" i="8" s="1"/>
  <c r="I32" i="8" a="1"/>
  <c r="I32" i="8" s="1"/>
  <c r="I33" i="8" a="1"/>
  <c r="I33" i="8" s="1"/>
  <c r="I34" i="8" a="1"/>
  <c r="I34" i="8" s="1"/>
  <c r="I35" i="8" a="1"/>
  <c r="I35" i="8" s="1"/>
  <c r="I36" i="8" a="1"/>
  <c r="I36" i="8" s="1"/>
  <c r="I37" i="8" a="1"/>
  <c r="I37" i="8" s="1"/>
  <c r="I38" i="8" a="1"/>
  <c r="I38" i="8" s="1"/>
  <c r="I39" i="8" a="1"/>
  <c r="I39" i="8" s="1"/>
  <c r="I40" i="8" a="1"/>
  <c r="I40" i="8" s="1"/>
  <c r="I41" i="8" a="1"/>
  <c r="I41" i="8" s="1"/>
  <c r="I42" i="8" a="1"/>
  <c r="I42" i="8" s="1"/>
  <c r="I43" i="8" a="1"/>
  <c r="I43" i="8" s="1"/>
  <c r="I44" i="8" a="1"/>
  <c r="I44" i="8" s="1"/>
  <c r="I45" i="8" a="1"/>
  <c r="I45" i="8" s="1"/>
  <c r="I46" i="8" a="1"/>
  <c r="I46" i="8" s="1"/>
  <c r="I47" i="8" a="1"/>
  <c r="I47" i="8" s="1"/>
  <c r="I48" i="8" a="1"/>
  <c r="I48" i="8" s="1"/>
  <c r="I49" i="8" a="1"/>
  <c r="I49" i="8" s="1"/>
  <c r="I50" i="8" a="1"/>
  <c r="I50" i="8" s="1"/>
  <c r="I51" i="8" a="1"/>
  <c r="I51" i="8" s="1"/>
  <c r="I52" i="8" a="1"/>
  <c r="I52" i="8" s="1"/>
  <c r="I53" i="8" a="1"/>
  <c r="I53" i="8" s="1"/>
  <c r="I54" i="8" a="1"/>
  <c r="I54" i="8" s="1"/>
  <c r="I55" i="8" a="1"/>
  <c r="I55" i="8" s="1"/>
  <c r="I56" i="8" a="1"/>
  <c r="I56" i="8" s="1"/>
  <c r="I57" i="8" a="1"/>
  <c r="I57" i="8" s="1"/>
  <c r="I58" i="8" a="1"/>
  <c r="I58" i="8" s="1"/>
  <c r="I59" i="8" a="1"/>
  <c r="I59" i="8" s="1"/>
  <c r="I60" i="8" a="1"/>
  <c r="I60" i="8" s="1"/>
  <c r="I61" i="8" a="1"/>
  <c r="I61" i="8" s="1"/>
  <c r="I62" i="8" a="1"/>
  <c r="I62" i="8" s="1"/>
  <c r="I63" i="8" a="1"/>
  <c r="I63" i="8" s="1"/>
  <c r="I64" i="8" a="1"/>
  <c r="I64" i="8" s="1"/>
  <c r="I65" i="8" a="1"/>
  <c r="I65" i="8" s="1"/>
  <c r="I66" i="8" a="1"/>
  <c r="I66" i="8" s="1"/>
  <c r="I67" i="8" a="1"/>
  <c r="I67" i="8" s="1"/>
  <c r="I68" i="8" a="1"/>
  <c r="I68" i="8" s="1"/>
  <c r="I69" i="8" a="1"/>
  <c r="I69" i="8" s="1"/>
  <c r="I70" i="8" a="1"/>
  <c r="I70" i="8" s="1"/>
  <c r="I71" i="8" a="1"/>
  <c r="I71" i="8" s="1"/>
  <c r="I72" i="8" a="1"/>
  <c r="I72" i="8" s="1"/>
  <c r="I73" i="8" a="1"/>
  <c r="I73" i="8" s="1"/>
  <c r="I74" i="8" a="1"/>
  <c r="I74" i="8" s="1"/>
  <c r="I75" i="8" a="1"/>
  <c r="I75" i="8" s="1"/>
  <c r="I76" i="8" a="1"/>
  <c r="I76" i="8" s="1"/>
  <c r="I77" i="8" a="1"/>
  <c r="I77" i="8" s="1"/>
  <c r="I78" i="8" a="1"/>
  <c r="I78" i="8" s="1"/>
  <c r="I79" i="8" a="1"/>
  <c r="I79" i="8" s="1"/>
  <c r="I80" i="8" a="1"/>
  <c r="I80" i="8" s="1"/>
  <c r="I81" i="8" a="1"/>
  <c r="I81" i="8" s="1"/>
  <c r="I82" i="8" a="1"/>
  <c r="I82" i="8" s="1"/>
  <c r="I83" i="8" a="1"/>
  <c r="I83" i="8" s="1"/>
  <c r="I84" i="8" a="1"/>
  <c r="I84" i="8" s="1"/>
  <c r="I85" i="8" a="1"/>
  <c r="I85" i="8" s="1"/>
  <c r="I86" i="8" a="1"/>
  <c r="I86" i="8" s="1"/>
  <c r="I87" i="8" a="1"/>
  <c r="I87" i="8" s="1"/>
  <c r="I88" i="8" a="1"/>
  <c r="I88" i="8" s="1"/>
  <c r="I89" i="8" a="1"/>
  <c r="I89" i="8" s="1"/>
  <c r="I90" i="8" a="1"/>
  <c r="I90" i="8" s="1"/>
  <c r="I91" i="8" a="1"/>
  <c r="I91" i="8" s="1"/>
  <c r="I92" i="8" a="1"/>
  <c r="I92" i="8" s="1"/>
  <c r="I93" i="8" a="1"/>
  <c r="I93" i="8" s="1"/>
  <c r="I94" i="8" a="1"/>
  <c r="I94" i="8" s="1"/>
  <c r="I95" i="8" a="1"/>
  <c r="I95" i="8" s="1"/>
  <c r="I96" i="8" a="1"/>
  <c r="I96" i="8" s="1"/>
  <c r="I97" i="8" a="1"/>
  <c r="I97" i="8" s="1"/>
  <c r="I98" i="8" a="1"/>
  <c r="I98" i="8" s="1"/>
  <c r="I99" i="8" a="1"/>
  <c r="I99" i="8" s="1"/>
  <c r="I100" i="8" a="1"/>
  <c r="I100" i="8" s="1"/>
  <c r="I101" i="8" a="1"/>
  <c r="I101" i="8" s="1"/>
  <c r="I102" i="8" a="1"/>
  <c r="I102" i="8" s="1"/>
  <c r="I103" i="8" a="1"/>
  <c r="I103" i="8" s="1"/>
  <c r="I104" i="8" a="1"/>
  <c r="I104" i="8" s="1"/>
  <c r="I105" i="8" a="1"/>
  <c r="I105" i="8" s="1"/>
  <c r="I106" i="8" a="1"/>
  <c r="I106" i="8" s="1"/>
  <c r="I107" i="8" a="1"/>
  <c r="I107" i="8" s="1"/>
  <c r="I108" i="8" a="1"/>
  <c r="I108" i="8" s="1"/>
  <c r="I109" i="8" a="1"/>
  <c r="I109" i="8" s="1"/>
  <c r="I110" i="8" a="1"/>
  <c r="I110" i="8" s="1"/>
  <c r="I111" i="8" a="1"/>
  <c r="I111" i="8" s="1"/>
  <c r="I112" i="8" a="1"/>
  <c r="I112" i="8" s="1"/>
  <c r="I113" i="8" a="1"/>
  <c r="I113" i="8" s="1"/>
  <c r="I114" i="8" a="1"/>
  <c r="I114" i="8" s="1"/>
  <c r="I115" i="8" a="1"/>
  <c r="I115" i="8" s="1"/>
  <c r="I116" i="8" a="1"/>
  <c r="I116" i="8" s="1"/>
  <c r="I117" i="8" a="1"/>
  <c r="I117" i="8" s="1"/>
  <c r="I118" i="8" a="1"/>
  <c r="I118" i="8" s="1"/>
  <c r="I119" i="8" a="1"/>
  <c r="I119" i="8" s="1"/>
  <c r="I120" i="8" a="1"/>
  <c r="I120" i="8" s="1"/>
  <c r="I121" i="8" a="1"/>
  <c r="I121" i="8" s="1"/>
  <c r="I122" i="8" a="1"/>
  <c r="I122" i="8" s="1"/>
  <c r="I123" i="8" a="1"/>
  <c r="I123" i="8" s="1"/>
  <c r="I124" i="8" a="1"/>
  <c r="I124" i="8" s="1"/>
  <c r="I125" i="8" a="1"/>
  <c r="I125" i="8" s="1"/>
  <c r="I126" i="8" a="1"/>
  <c r="I126" i="8" s="1"/>
  <c r="I127" i="8" a="1"/>
  <c r="I127" i="8" s="1"/>
  <c r="I128" i="8" a="1"/>
  <c r="I128" i="8" s="1"/>
  <c r="I129" i="8" a="1"/>
  <c r="I129" i="8" s="1"/>
  <c r="I130" i="8" a="1"/>
  <c r="I130" i="8" s="1"/>
  <c r="I131" i="8" a="1"/>
  <c r="I131" i="8" s="1"/>
  <c r="I132" i="8" a="1"/>
  <c r="I132" i="8" s="1"/>
  <c r="I133" i="8" a="1"/>
  <c r="I133" i="8" s="1"/>
  <c r="I134" i="8" a="1"/>
  <c r="I134" i="8" s="1"/>
  <c r="I135" i="8" a="1"/>
  <c r="I135" i="8" s="1"/>
  <c r="I136" i="8" a="1"/>
  <c r="I136" i="8" s="1"/>
  <c r="I137" i="8" a="1"/>
  <c r="I137" i="8" s="1"/>
  <c r="I138" i="8" a="1"/>
  <c r="I138" i="8" s="1"/>
  <c r="I139" i="8" a="1"/>
  <c r="I139" i="8" s="1"/>
  <c r="I140" i="8" a="1"/>
  <c r="I140" i="8" s="1"/>
  <c r="I141" i="8" a="1"/>
  <c r="I141" i="8" s="1"/>
  <c r="I142" i="8" a="1"/>
  <c r="I142" i="8" s="1"/>
  <c r="I143" i="8" a="1"/>
  <c r="I143" i="8" s="1"/>
  <c r="I144" i="8" a="1"/>
  <c r="I144" i="8" s="1"/>
  <c r="I145" i="8" a="1"/>
  <c r="I145" i="8" s="1"/>
  <c r="I146" i="8" a="1"/>
  <c r="I146" i="8" s="1"/>
  <c r="I147" i="8" a="1"/>
  <c r="I147" i="8" s="1"/>
  <c r="I148" i="8" a="1"/>
  <c r="I148" i="8" s="1"/>
  <c r="I149" i="8" a="1"/>
  <c r="I149" i="8" s="1"/>
  <c r="I150" i="8" a="1"/>
  <c r="I150" i="8" s="1"/>
  <c r="I151" i="8" a="1"/>
  <c r="I151" i="8" s="1"/>
  <c r="I152" i="8" a="1"/>
  <c r="I152" i="8" s="1"/>
  <c r="I153" i="8" a="1"/>
  <c r="I153" i="8" s="1"/>
  <c r="I154" i="8" a="1"/>
  <c r="I154" i="8" s="1"/>
  <c r="I155" i="8" a="1"/>
  <c r="I155" i="8" s="1"/>
  <c r="I156" i="8" a="1"/>
  <c r="I156" i="8" s="1"/>
  <c r="I157" i="8" a="1"/>
  <c r="I157" i="8" s="1"/>
  <c r="I158" i="8" a="1"/>
  <c r="I158" i="8" s="1"/>
  <c r="I159" i="8" a="1"/>
  <c r="I159" i="8" s="1"/>
  <c r="I160" i="8" a="1"/>
  <c r="I160" i="8" s="1"/>
  <c r="I161" i="8" a="1"/>
  <c r="I161" i="8" s="1"/>
  <c r="I162" i="8" a="1"/>
  <c r="I162" i="8" s="1"/>
  <c r="I163" i="8" a="1"/>
  <c r="I163" i="8" s="1"/>
  <c r="I164" i="8" a="1"/>
  <c r="I164" i="8" s="1"/>
  <c r="I165" i="8" a="1"/>
  <c r="I165" i="8" s="1"/>
  <c r="I166" i="8" a="1"/>
  <c r="I166" i="8" s="1"/>
  <c r="I167" i="8" a="1"/>
  <c r="I167" i="8" s="1"/>
  <c r="I168" i="8" a="1"/>
  <c r="I168" i="8" s="1"/>
  <c r="I169" i="8" a="1"/>
  <c r="I169" i="8" s="1"/>
  <c r="I170" i="8" a="1"/>
  <c r="I170" i="8" s="1"/>
  <c r="I171" i="8" a="1"/>
  <c r="I171" i="8" s="1"/>
  <c r="I172" i="8" a="1"/>
  <c r="I172" i="8" s="1"/>
  <c r="I173" i="8" a="1"/>
  <c r="I173" i="8" s="1"/>
  <c r="I174" i="8" a="1"/>
  <c r="I174" i="8" s="1"/>
  <c r="I175" i="8" a="1"/>
  <c r="I175" i="8" s="1"/>
  <c r="I176" i="8" a="1"/>
  <c r="I176" i="8" s="1"/>
  <c r="I177" i="8" a="1"/>
  <c r="I177" i="8" s="1"/>
  <c r="I178" i="8" a="1"/>
  <c r="I178" i="8" s="1"/>
  <c r="I179" i="8" a="1"/>
  <c r="I179" i="8" s="1"/>
  <c r="I180" i="8" a="1"/>
  <c r="I180" i="8" s="1"/>
  <c r="I181" i="8" a="1"/>
  <c r="I181" i="8" s="1"/>
  <c r="I182" i="8" a="1"/>
  <c r="I182" i="8" s="1"/>
  <c r="I183" i="8" a="1"/>
  <c r="I183" i="8" s="1"/>
  <c r="I184" i="8" a="1"/>
  <c r="I184" i="8" s="1"/>
  <c r="I185" i="8" a="1"/>
  <c r="I185" i="8" s="1"/>
  <c r="I186" i="8" a="1"/>
  <c r="I186" i="8" s="1"/>
  <c r="I187" i="8" a="1"/>
  <c r="I187" i="8" s="1"/>
  <c r="I188" i="8" a="1"/>
  <c r="I188" i="8" s="1"/>
  <c r="I189" i="8" a="1"/>
  <c r="I189" i="8" s="1"/>
  <c r="I190" i="8" a="1"/>
  <c r="I190" i="8" s="1"/>
  <c r="I191" i="8" a="1"/>
  <c r="I191" i="8" s="1"/>
  <c r="I192" i="8" a="1"/>
  <c r="I192" i="8" s="1"/>
  <c r="I193" i="8" a="1"/>
  <c r="I193" i="8" s="1"/>
  <c r="I194" i="8" a="1"/>
  <c r="I194" i="8" s="1"/>
  <c r="I195" i="8" a="1"/>
  <c r="I195" i="8" s="1"/>
  <c r="I196" i="8" a="1"/>
  <c r="I196" i="8" s="1"/>
  <c r="I2" i="8" a="1"/>
  <c r="I2" i="8" s="1"/>
  <c r="H3" i="8" a="1"/>
  <c r="H3" i="8" s="1"/>
  <c r="H4" i="8" a="1"/>
  <c r="H4" i="8" s="1"/>
  <c r="H5" i="8" a="1"/>
  <c r="H5" i="8" s="1"/>
  <c r="H6" i="8" a="1"/>
  <c r="H6" i="8" s="1"/>
  <c r="H7" i="8" a="1"/>
  <c r="H7" i="8" s="1"/>
  <c r="H8" i="8" a="1"/>
  <c r="H8" i="8" s="1"/>
  <c r="H9" i="8" a="1"/>
  <c r="H9" i="8" s="1"/>
  <c r="H10" i="8" a="1"/>
  <c r="H10" i="8" s="1"/>
  <c r="H11" i="8" a="1"/>
  <c r="H11" i="8" s="1"/>
  <c r="H12" i="8" a="1"/>
  <c r="H12" i="8" s="1"/>
  <c r="H13" i="8" a="1"/>
  <c r="H13" i="8" s="1"/>
  <c r="H14" i="8" a="1"/>
  <c r="H14" i="8" s="1"/>
  <c r="H15" i="8" a="1"/>
  <c r="H15" i="8" s="1"/>
  <c r="H16" i="8" a="1"/>
  <c r="H16" i="8" s="1"/>
  <c r="H17" i="8" a="1"/>
  <c r="H17" i="8" s="1"/>
  <c r="H18" i="8" a="1"/>
  <c r="H18" i="8" s="1"/>
  <c r="H19" i="8" a="1"/>
  <c r="H19" i="8" s="1"/>
  <c r="H20" i="8" a="1"/>
  <c r="H20" i="8" s="1"/>
  <c r="H21" i="8" a="1"/>
  <c r="H21" i="8" s="1"/>
  <c r="H22" i="8" a="1"/>
  <c r="H22" i="8" s="1"/>
  <c r="H23" i="8" a="1"/>
  <c r="H23" i="8" s="1"/>
  <c r="H24" i="8" a="1"/>
  <c r="H24" i="8" s="1"/>
  <c r="H25" i="8" a="1"/>
  <c r="H25" i="8" s="1"/>
  <c r="H26" i="8" a="1"/>
  <c r="H26" i="8" s="1"/>
  <c r="H27" i="8" a="1"/>
  <c r="H27" i="8" s="1"/>
  <c r="H28" i="8" a="1"/>
  <c r="H28" i="8" s="1"/>
  <c r="H29" i="8" a="1"/>
  <c r="H29" i="8" s="1"/>
  <c r="H30" i="8" a="1"/>
  <c r="H30" i="8" s="1"/>
  <c r="H31" i="8" a="1"/>
  <c r="H31" i="8" s="1"/>
  <c r="H32" i="8" a="1"/>
  <c r="H32" i="8" s="1"/>
  <c r="H33" i="8" a="1"/>
  <c r="H33" i="8" s="1"/>
  <c r="H34" i="8" a="1"/>
  <c r="H34" i="8" s="1"/>
  <c r="H35" i="8" a="1"/>
  <c r="H35" i="8" s="1"/>
  <c r="H36" i="8" a="1"/>
  <c r="H36" i="8" s="1"/>
  <c r="H37" i="8" a="1"/>
  <c r="H37" i="8" s="1"/>
  <c r="H38" i="8" a="1"/>
  <c r="H38" i="8" s="1"/>
  <c r="H39" i="8" a="1"/>
  <c r="H39" i="8" s="1"/>
  <c r="H40" i="8" a="1"/>
  <c r="H40" i="8" s="1"/>
  <c r="H41" i="8" a="1"/>
  <c r="H41" i="8" s="1"/>
  <c r="H42" i="8" a="1"/>
  <c r="H42" i="8" s="1"/>
  <c r="H43" i="8" a="1"/>
  <c r="H43" i="8" s="1"/>
  <c r="H44" i="8" a="1"/>
  <c r="H44" i="8" s="1"/>
  <c r="H45" i="8" a="1"/>
  <c r="H45" i="8" s="1"/>
  <c r="H46" i="8" a="1"/>
  <c r="H46" i="8" s="1"/>
  <c r="H47" i="8" a="1"/>
  <c r="H47" i="8" s="1"/>
  <c r="H48" i="8" a="1"/>
  <c r="H48" i="8" s="1"/>
  <c r="H49" i="8" a="1"/>
  <c r="H49" i="8" s="1"/>
  <c r="H50" i="8" a="1"/>
  <c r="H50" i="8" s="1"/>
  <c r="H51" i="8" a="1"/>
  <c r="H51" i="8" s="1"/>
  <c r="H52" i="8" a="1"/>
  <c r="H52" i="8" s="1"/>
  <c r="H53" i="8" a="1"/>
  <c r="H53" i="8" s="1"/>
  <c r="H54" i="8" a="1"/>
  <c r="H54" i="8" s="1"/>
  <c r="H55" i="8" a="1"/>
  <c r="H55" i="8" s="1"/>
  <c r="H56" i="8" a="1"/>
  <c r="H56" i="8" s="1"/>
  <c r="H57" i="8" a="1"/>
  <c r="H57" i="8" s="1"/>
  <c r="H58" i="8" a="1"/>
  <c r="H58" i="8" s="1"/>
  <c r="H59" i="8" a="1"/>
  <c r="H59" i="8" s="1"/>
  <c r="H60" i="8" a="1"/>
  <c r="H60" i="8" s="1"/>
  <c r="H61" i="8" a="1"/>
  <c r="H61" i="8" s="1"/>
  <c r="H62" i="8" a="1"/>
  <c r="H62" i="8" s="1"/>
  <c r="H63" i="8" a="1"/>
  <c r="H63" i="8" s="1"/>
  <c r="H64" i="8" a="1"/>
  <c r="H64" i="8" s="1"/>
  <c r="H65" i="8" a="1"/>
  <c r="H65" i="8" s="1"/>
  <c r="H66" i="8" a="1"/>
  <c r="H66" i="8" s="1"/>
  <c r="H67" i="8" a="1"/>
  <c r="H67" i="8" s="1"/>
  <c r="H68" i="8" a="1"/>
  <c r="H68" i="8" s="1"/>
  <c r="H69" i="8" a="1"/>
  <c r="H69" i="8" s="1"/>
  <c r="H70" i="8" a="1"/>
  <c r="H70" i="8" s="1"/>
  <c r="H71" i="8" a="1"/>
  <c r="H71" i="8" s="1"/>
  <c r="H72" i="8" a="1"/>
  <c r="H72" i="8" s="1"/>
  <c r="H73" i="8" a="1"/>
  <c r="H73" i="8" s="1"/>
  <c r="H74" i="8" a="1"/>
  <c r="H74" i="8" s="1"/>
  <c r="H75" i="8" a="1"/>
  <c r="H75" i="8" s="1"/>
  <c r="H76" i="8" a="1"/>
  <c r="H76" i="8" s="1"/>
  <c r="H77" i="8" a="1"/>
  <c r="H77" i="8" s="1"/>
  <c r="H78" i="8" a="1"/>
  <c r="H78" i="8" s="1"/>
  <c r="H79" i="8" a="1"/>
  <c r="H79" i="8" s="1"/>
  <c r="H80" i="8" a="1"/>
  <c r="H80" i="8" s="1"/>
  <c r="H81" i="8" a="1"/>
  <c r="H81" i="8" s="1"/>
  <c r="H82" i="8" a="1"/>
  <c r="H82" i="8" s="1"/>
  <c r="H83" i="8" a="1"/>
  <c r="H83" i="8" s="1"/>
  <c r="H84" i="8" a="1"/>
  <c r="H84" i="8" s="1"/>
  <c r="H85" i="8" a="1"/>
  <c r="H85" i="8" s="1"/>
  <c r="H86" i="8" a="1"/>
  <c r="H86" i="8" s="1"/>
  <c r="H87" i="8" a="1"/>
  <c r="H87" i="8" s="1"/>
  <c r="H88" i="8" a="1"/>
  <c r="H88" i="8" s="1"/>
  <c r="H89" i="8" a="1"/>
  <c r="H89" i="8" s="1"/>
  <c r="H90" i="8" a="1"/>
  <c r="H90" i="8" s="1"/>
  <c r="H91" i="8" a="1"/>
  <c r="H91" i="8" s="1"/>
  <c r="H92" i="8" a="1"/>
  <c r="H92" i="8" s="1"/>
  <c r="H93" i="8" a="1"/>
  <c r="H93" i="8" s="1"/>
  <c r="H94" i="8" a="1"/>
  <c r="H94" i="8" s="1"/>
  <c r="H95" i="8" a="1"/>
  <c r="H95" i="8" s="1"/>
  <c r="H96" i="8" a="1"/>
  <c r="H96" i="8" s="1"/>
  <c r="H97" i="8" a="1"/>
  <c r="H97" i="8" s="1"/>
  <c r="H98" i="8" a="1"/>
  <c r="H98" i="8" s="1"/>
  <c r="H99" i="8" a="1"/>
  <c r="H99" i="8" s="1"/>
  <c r="H100" i="8" a="1"/>
  <c r="H100" i="8" s="1"/>
  <c r="H101" i="8" a="1"/>
  <c r="H101" i="8" s="1"/>
  <c r="H102" i="8" a="1"/>
  <c r="H102" i="8" s="1"/>
  <c r="H103" i="8" a="1"/>
  <c r="H103" i="8" s="1"/>
  <c r="H104" i="8" a="1"/>
  <c r="H104" i="8" s="1"/>
  <c r="H105" i="8" a="1"/>
  <c r="H105" i="8" s="1"/>
  <c r="H106" i="8" a="1"/>
  <c r="H106" i="8" s="1"/>
  <c r="H107" i="8" a="1"/>
  <c r="H107" i="8" s="1"/>
  <c r="H108" i="8" a="1"/>
  <c r="H108" i="8" s="1"/>
  <c r="H109" i="8" a="1"/>
  <c r="H109" i="8" s="1"/>
  <c r="H110" i="8" a="1"/>
  <c r="H110" i="8" s="1"/>
  <c r="H111" i="8" a="1"/>
  <c r="H111" i="8" s="1"/>
  <c r="H112" i="8" a="1"/>
  <c r="H112" i="8" s="1"/>
  <c r="H113" i="8" a="1"/>
  <c r="H113" i="8" s="1"/>
  <c r="H114" i="8" a="1"/>
  <c r="H114" i="8" s="1"/>
  <c r="H115" i="8" a="1"/>
  <c r="H115" i="8" s="1"/>
  <c r="H116" i="8" a="1"/>
  <c r="H116" i="8" s="1"/>
  <c r="H117" i="8" a="1"/>
  <c r="H117" i="8" s="1"/>
  <c r="H118" i="8" a="1"/>
  <c r="H118" i="8" s="1"/>
  <c r="H119" i="8" a="1"/>
  <c r="H119" i="8" s="1"/>
  <c r="H120" i="8" a="1"/>
  <c r="H120" i="8" s="1"/>
  <c r="H121" i="8" a="1"/>
  <c r="H121" i="8" s="1"/>
  <c r="H122" i="8" a="1"/>
  <c r="H122" i="8" s="1"/>
  <c r="H123" i="8" a="1"/>
  <c r="H123" i="8" s="1"/>
  <c r="H124" i="8" a="1"/>
  <c r="H124" i="8" s="1"/>
  <c r="H125" i="8" a="1"/>
  <c r="H125" i="8" s="1"/>
  <c r="H126" i="8" a="1"/>
  <c r="H126" i="8" s="1"/>
  <c r="H127" i="8" a="1"/>
  <c r="H127" i="8" s="1"/>
  <c r="H128" i="8" a="1"/>
  <c r="H128" i="8" s="1"/>
  <c r="H129" i="8" a="1"/>
  <c r="H129" i="8" s="1"/>
  <c r="H130" i="8" a="1"/>
  <c r="H130" i="8" s="1"/>
  <c r="H131" i="8" a="1"/>
  <c r="H131" i="8" s="1"/>
  <c r="H132" i="8" a="1"/>
  <c r="H132" i="8" s="1"/>
  <c r="H133" i="8" a="1"/>
  <c r="H133" i="8" s="1"/>
  <c r="H134" i="8" a="1"/>
  <c r="H134" i="8" s="1"/>
  <c r="H135" i="8" a="1"/>
  <c r="H135" i="8" s="1"/>
  <c r="H136" i="8" a="1"/>
  <c r="H136" i="8" s="1"/>
  <c r="H137" i="8" a="1"/>
  <c r="H137" i="8" s="1"/>
  <c r="H138" i="8" a="1"/>
  <c r="H138" i="8" s="1"/>
  <c r="H139" i="8" a="1"/>
  <c r="H139" i="8" s="1"/>
  <c r="H140" i="8" a="1"/>
  <c r="H140" i="8" s="1"/>
  <c r="H141" i="8" a="1"/>
  <c r="H141" i="8" s="1"/>
  <c r="H142" i="8" a="1"/>
  <c r="H142" i="8" s="1"/>
  <c r="H143" i="8" a="1"/>
  <c r="H143" i="8" s="1"/>
  <c r="H144" i="8" a="1"/>
  <c r="H144" i="8" s="1"/>
  <c r="H145" i="8" a="1"/>
  <c r="H145" i="8" s="1"/>
  <c r="H146" i="8" a="1"/>
  <c r="H146" i="8" s="1"/>
  <c r="H147" i="8" a="1"/>
  <c r="H147" i="8" s="1"/>
  <c r="H148" i="8" a="1"/>
  <c r="H148" i="8" s="1"/>
  <c r="H149" i="8" a="1"/>
  <c r="H149" i="8" s="1"/>
  <c r="H150" i="8" a="1"/>
  <c r="H150" i="8" s="1"/>
  <c r="H151" i="8" a="1"/>
  <c r="H151" i="8" s="1"/>
  <c r="H152" i="8" a="1"/>
  <c r="H152" i="8" s="1"/>
  <c r="H153" i="8" a="1"/>
  <c r="H153" i="8" s="1"/>
  <c r="H154" i="8" a="1"/>
  <c r="H154" i="8" s="1"/>
  <c r="H155" i="8" a="1"/>
  <c r="H155" i="8" s="1"/>
  <c r="H156" i="8" a="1"/>
  <c r="H156" i="8" s="1"/>
  <c r="H157" i="8" a="1"/>
  <c r="H157" i="8" s="1"/>
  <c r="H158" i="8" a="1"/>
  <c r="H158" i="8" s="1"/>
  <c r="H159" i="8" a="1"/>
  <c r="H159" i="8" s="1"/>
  <c r="H160" i="8" a="1"/>
  <c r="H160" i="8" s="1"/>
  <c r="H161" i="8" a="1"/>
  <c r="H161" i="8" s="1"/>
  <c r="H162" i="8" a="1"/>
  <c r="H162" i="8" s="1"/>
  <c r="H163" i="8" a="1"/>
  <c r="H163" i="8" s="1"/>
  <c r="H164" i="8" a="1"/>
  <c r="H164" i="8" s="1"/>
  <c r="H165" i="8" a="1"/>
  <c r="H165" i="8" s="1"/>
  <c r="H166" i="8" a="1"/>
  <c r="H166" i="8" s="1"/>
  <c r="H167" i="8" a="1"/>
  <c r="H167" i="8" s="1"/>
  <c r="H168" i="8" a="1"/>
  <c r="H168" i="8" s="1"/>
  <c r="H169" i="8" a="1"/>
  <c r="H169" i="8" s="1"/>
  <c r="H170" i="8" a="1"/>
  <c r="H170" i="8" s="1"/>
  <c r="H171" i="8" a="1"/>
  <c r="H171" i="8" s="1"/>
  <c r="H172" i="8" a="1"/>
  <c r="H172" i="8" s="1"/>
  <c r="H173" i="8" a="1"/>
  <c r="H173" i="8" s="1"/>
  <c r="H174" i="8" a="1"/>
  <c r="H174" i="8" s="1"/>
  <c r="H175" i="8" a="1"/>
  <c r="H175" i="8" s="1"/>
  <c r="H176" i="8" a="1"/>
  <c r="H176" i="8" s="1"/>
  <c r="H177" i="8" a="1"/>
  <c r="H177" i="8" s="1"/>
  <c r="H178" i="8" a="1"/>
  <c r="H178" i="8" s="1"/>
  <c r="H179" i="8" a="1"/>
  <c r="H179" i="8" s="1"/>
  <c r="H180" i="8" a="1"/>
  <c r="H180" i="8" s="1"/>
  <c r="H181" i="8" a="1"/>
  <c r="H181" i="8" s="1"/>
  <c r="H182" i="8" a="1"/>
  <c r="H182" i="8" s="1"/>
  <c r="H183" i="8" a="1"/>
  <c r="H183" i="8" s="1"/>
  <c r="H184" i="8" a="1"/>
  <c r="H184" i="8" s="1"/>
  <c r="H185" i="8" a="1"/>
  <c r="H185" i="8" s="1"/>
  <c r="H186" i="8" a="1"/>
  <c r="H186" i="8" s="1"/>
  <c r="H187" i="8" a="1"/>
  <c r="H187" i="8" s="1"/>
  <c r="H188" i="8" a="1"/>
  <c r="H188" i="8" s="1"/>
  <c r="H189" i="8" a="1"/>
  <c r="H189" i="8" s="1"/>
  <c r="H190" i="8" a="1"/>
  <c r="H190" i="8" s="1"/>
  <c r="H191" i="8" a="1"/>
  <c r="H191" i="8" s="1"/>
  <c r="H192" i="8" a="1"/>
  <c r="H192" i="8" s="1"/>
  <c r="H193" i="8" a="1"/>
  <c r="H193" i="8" s="1"/>
  <c r="H194" i="8" a="1"/>
  <c r="H194" i="8" s="1"/>
  <c r="H195" i="8" a="1"/>
  <c r="H195" i="8" s="1"/>
  <c r="H196" i="8" a="1"/>
  <c r="H196" i="8" s="1"/>
  <c r="H2" i="8" a="1"/>
  <c r="H2" i="8" s="1"/>
  <c r="G3" i="8" a="1"/>
  <c r="G3" i="8" s="1"/>
  <c r="G4" i="8" a="1"/>
  <c r="G4" i="8" s="1"/>
  <c r="G5" i="8" a="1"/>
  <c r="G5" i="8" s="1"/>
  <c r="G6" i="8" a="1"/>
  <c r="G6" i="8" s="1"/>
  <c r="G7" i="8" a="1"/>
  <c r="G7" i="8" s="1"/>
  <c r="G8" i="8" a="1"/>
  <c r="G8" i="8" s="1"/>
  <c r="G9" i="8" a="1"/>
  <c r="G9" i="8" s="1"/>
  <c r="G10" i="8" a="1"/>
  <c r="G10" i="8" s="1"/>
  <c r="G11" i="8" a="1"/>
  <c r="G11" i="8" s="1"/>
  <c r="G12" i="8" a="1"/>
  <c r="G12" i="8" s="1"/>
  <c r="G13" i="8" a="1"/>
  <c r="G13" i="8" s="1"/>
  <c r="G14" i="8" a="1"/>
  <c r="G14" i="8" s="1"/>
  <c r="G15" i="8" a="1"/>
  <c r="G15" i="8" s="1"/>
  <c r="G16" i="8" a="1"/>
  <c r="G16" i="8" s="1"/>
  <c r="G17" i="8" a="1"/>
  <c r="G17" i="8" s="1"/>
  <c r="G18" i="8" a="1"/>
  <c r="G18" i="8" s="1"/>
  <c r="G19" i="8" a="1"/>
  <c r="G19" i="8" s="1"/>
  <c r="G20" i="8" a="1"/>
  <c r="G20" i="8" s="1"/>
  <c r="G21" i="8" a="1"/>
  <c r="G21" i="8" s="1"/>
  <c r="G22" i="8" a="1"/>
  <c r="G22" i="8" s="1"/>
  <c r="G23" i="8" a="1"/>
  <c r="G23" i="8" s="1"/>
  <c r="G24" i="8" a="1"/>
  <c r="G24" i="8" s="1"/>
  <c r="G25" i="8" a="1"/>
  <c r="G25" i="8" s="1"/>
  <c r="G26" i="8" a="1"/>
  <c r="G26" i="8" s="1"/>
  <c r="G27" i="8" a="1"/>
  <c r="G27" i="8" s="1"/>
  <c r="G28" i="8" a="1"/>
  <c r="G28" i="8" s="1"/>
  <c r="G29" i="8" a="1"/>
  <c r="G29" i="8" s="1"/>
  <c r="G30" i="8" a="1"/>
  <c r="G30" i="8" s="1"/>
  <c r="G31" i="8" a="1"/>
  <c r="G31" i="8" s="1"/>
  <c r="G32" i="8" a="1"/>
  <c r="G32" i="8" s="1"/>
  <c r="G33" i="8" a="1"/>
  <c r="G33" i="8" s="1"/>
  <c r="G34" i="8" a="1"/>
  <c r="G34" i="8" s="1"/>
  <c r="G35" i="8" a="1"/>
  <c r="G35" i="8" s="1"/>
  <c r="G36" i="8" a="1"/>
  <c r="G36" i="8" s="1"/>
  <c r="G37" i="8" a="1"/>
  <c r="G37" i="8" s="1"/>
  <c r="G38" i="8" a="1"/>
  <c r="G38" i="8" s="1"/>
  <c r="G39" i="8" a="1"/>
  <c r="G39" i="8" s="1"/>
  <c r="G40" i="8" a="1"/>
  <c r="G40" i="8" s="1"/>
  <c r="G41" i="8" a="1"/>
  <c r="G41" i="8" s="1"/>
  <c r="G42" i="8" a="1"/>
  <c r="G42" i="8" s="1"/>
  <c r="G43" i="8" a="1"/>
  <c r="G43" i="8" s="1"/>
  <c r="G44" i="8" a="1"/>
  <c r="G44" i="8" s="1"/>
  <c r="G45" i="8" a="1"/>
  <c r="G45" i="8" s="1"/>
  <c r="G46" i="8" a="1"/>
  <c r="G46" i="8" s="1"/>
  <c r="G47" i="8" a="1"/>
  <c r="G47" i="8" s="1"/>
  <c r="G48" i="8" a="1"/>
  <c r="G48" i="8" s="1"/>
  <c r="G49" i="8" a="1"/>
  <c r="G49" i="8" s="1"/>
  <c r="G50" i="8" a="1"/>
  <c r="G50" i="8" s="1"/>
  <c r="G51" i="8" a="1"/>
  <c r="G51" i="8" s="1"/>
  <c r="G52" i="8" a="1"/>
  <c r="G52" i="8" s="1"/>
  <c r="G53" i="8" a="1"/>
  <c r="G53" i="8" s="1"/>
  <c r="G54" i="8" a="1"/>
  <c r="G54" i="8" s="1"/>
  <c r="G55" i="8" a="1"/>
  <c r="G55" i="8" s="1"/>
  <c r="G56" i="8" a="1"/>
  <c r="G56" i="8" s="1"/>
  <c r="G57" i="8" a="1"/>
  <c r="G57" i="8" s="1"/>
  <c r="G58" i="8" a="1"/>
  <c r="G58" i="8" s="1"/>
  <c r="G59" i="8" a="1"/>
  <c r="G59" i="8" s="1"/>
  <c r="G60" i="8" a="1"/>
  <c r="G60" i="8" s="1"/>
  <c r="G61" i="8" a="1"/>
  <c r="G61" i="8" s="1"/>
  <c r="G62" i="8" a="1"/>
  <c r="G62" i="8" s="1"/>
  <c r="G63" i="8" a="1"/>
  <c r="G63" i="8" s="1"/>
  <c r="G64" i="8" a="1"/>
  <c r="G64" i="8" s="1"/>
  <c r="G65" i="8" a="1"/>
  <c r="G65" i="8" s="1"/>
  <c r="G66" i="8" a="1"/>
  <c r="G66" i="8" s="1"/>
  <c r="G67" i="8" a="1"/>
  <c r="G67" i="8" s="1"/>
  <c r="G68" i="8" a="1"/>
  <c r="G68" i="8" s="1"/>
  <c r="G69" i="8" a="1"/>
  <c r="G69" i="8" s="1"/>
  <c r="G70" i="8" a="1"/>
  <c r="G70" i="8" s="1"/>
  <c r="G71" i="8" a="1"/>
  <c r="G71" i="8" s="1"/>
  <c r="G72" i="8" a="1"/>
  <c r="G72" i="8" s="1"/>
  <c r="G73" i="8" a="1"/>
  <c r="G73" i="8" s="1"/>
  <c r="G74" i="8" a="1"/>
  <c r="G74" i="8" s="1"/>
  <c r="G75" i="8" a="1"/>
  <c r="G75" i="8" s="1"/>
  <c r="G76" i="8" a="1"/>
  <c r="G76" i="8" s="1"/>
  <c r="G77" i="8" a="1"/>
  <c r="G77" i="8" s="1"/>
  <c r="G78" i="8" a="1"/>
  <c r="G78" i="8" s="1"/>
  <c r="G79" i="8" a="1"/>
  <c r="G79" i="8" s="1"/>
  <c r="G80" i="8" a="1"/>
  <c r="G80" i="8" s="1"/>
  <c r="G81" i="8" a="1"/>
  <c r="G81" i="8" s="1"/>
  <c r="G82" i="8" a="1"/>
  <c r="G82" i="8" s="1"/>
  <c r="G83" i="8" a="1"/>
  <c r="G83" i="8" s="1"/>
  <c r="G84" i="8" a="1"/>
  <c r="G84" i="8" s="1"/>
  <c r="G85" i="8" a="1"/>
  <c r="G85" i="8" s="1"/>
  <c r="G86" i="8" a="1"/>
  <c r="G86" i="8" s="1"/>
  <c r="G87" i="8" a="1"/>
  <c r="G87" i="8" s="1"/>
  <c r="G88" i="8" a="1"/>
  <c r="G88" i="8" s="1"/>
  <c r="G89" i="8" a="1"/>
  <c r="G89" i="8" s="1"/>
  <c r="G90" i="8" a="1"/>
  <c r="G90" i="8" s="1"/>
  <c r="G91" i="8" a="1"/>
  <c r="G91" i="8" s="1"/>
  <c r="G92" i="8" a="1"/>
  <c r="G92" i="8" s="1"/>
  <c r="G93" i="8" a="1"/>
  <c r="G93" i="8" s="1"/>
  <c r="G94" i="8" a="1"/>
  <c r="G94" i="8" s="1"/>
  <c r="G95" i="8" a="1"/>
  <c r="G95" i="8" s="1"/>
  <c r="G96" i="8" a="1"/>
  <c r="G96" i="8" s="1"/>
  <c r="G97" i="8" a="1"/>
  <c r="G97" i="8" s="1"/>
  <c r="G98" i="8" a="1"/>
  <c r="G98" i="8" s="1"/>
  <c r="G99" i="8" a="1"/>
  <c r="G99" i="8" s="1"/>
  <c r="G100" i="8" a="1"/>
  <c r="G100" i="8" s="1"/>
  <c r="G101" i="8" a="1"/>
  <c r="G101" i="8" s="1"/>
  <c r="G102" i="8" a="1"/>
  <c r="G102" i="8" s="1"/>
  <c r="G103" i="8" a="1"/>
  <c r="G103" i="8" s="1"/>
  <c r="G104" i="8" a="1"/>
  <c r="G104" i="8" s="1"/>
  <c r="G105" i="8" a="1"/>
  <c r="G105" i="8" s="1"/>
  <c r="G106" i="8" a="1"/>
  <c r="G106" i="8" s="1"/>
  <c r="G107" i="8" a="1"/>
  <c r="G107" i="8" s="1"/>
  <c r="G108" i="8" a="1"/>
  <c r="G108" i="8" s="1"/>
  <c r="G109" i="8" a="1"/>
  <c r="G109" i="8" s="1"/>
  <c r="G110" i="8" a="1"/>
  <c r="G110" i="8" s="1"/>
  <c r="G111" i="8" a="1"/>
  <c r="G111" i="8" s="1"/>
  <c r="G112" i="8" a="1"/>
  <c r="G112" i="8" s="1"/>
  <c r="G113" i="8" a="1"/>
  <c r="G113" i="8" s="1"/>
  <c r="G114" i="8" a="1"/>
  <c r="G114" i="8" s="1"/>
  <c r="G115" i="8" a="1"/>
  <c r="G115" i="8" s="1"/>
  <c r="G116" i="8" a="1"/>
  <c r="G116" i="8" s="1"/>
  <c r="G117" i="8" a="1"/>
  <c r="G117" i="8" s="1"/>
  <c r="G118" i="8" a="1"/>
  <c r="G118" i="8" s="1"/>
  <c r="G119" i="8" a="1"/>
  <c r="G119" i="8" s="1"/>
  <c r="G120" i="8" a="1"/>
  <c r="G120" i="8" s="1"/>
  <c r="G121" i="8" a="1"/>
  <c r="G121" i="8" s="1"/>
  <c r="G122" i="8" a="1"/>
  <c r="G122" i="8" s="1"/>
  <c r="G123" i="8" a="1"/>
  <c r="G123" i="8" s="1"/>
  <c r="G124" i="8" a="1"/>
  <c r="G124" i="8" s="1"/>
  <c r="G125" i="8" a="1"/>
  <c r="G125" i="8" s="1"/>
  <c r="G126" i="8" a="1"/>
  <c r="G126" i="8" s="1"/>
  <c r="G127" i="8" a="1"/>
  <c r="G127" i="8" s="1"/>
  <c r="G128" i="8" a="1"/>
  <c r="G128" i="8" s="1"/>
  <c r="G129" i="8" a="1"/>
  <c r="G129" i="8" s="1"/>
  <c r="G130" i="8" a="1"/>
  <c r="G130" i="8" s="1"/>
  <c r="G131" i="8" a="1"/>
  <c r="G131" i="8" s="1"/>
  <c r="G132" i="8" a="1"/>
  <c r="G132" i="8" s="1"/>
  <c r="G133" i="8" a="1"/>
  <c r="G133" i="8" s="1"/>
  <c r="G134" i="8" a="1"/>
  <c r="G134" i="8" s="1"/>
  <c r="G135" i="8" a="1"/>
  <c r="G135" i="8" s="1"/>
  <c r="G136" i="8" a="1"/>
  <c r="G136" i="8" s="1"/>
  <c r="G137" i="8" a="1"/>
  <c r="G137" i="8" s="1"/>
  <c r="G138" i="8" a="1"/>
  <c r="G138" i="8" s="1"/>
  <c r="G139" i="8" a="1"/>
  <c r="G139" i="8" s="1"/>
  <c r="G140" i="8" a="1"/>
  <c r="G140" i="8" s="1"/>
  <c r="G141" i="8" a="1"/>
  <c r="G141" i="8" s="1"/>
  <c r="G142" i="8" a="1"/>
  <c r="G142" i="8" s="1"/>
  <c r="G143" i="8" a="1"/>
  <c r="G143" i="8" s="1"/>
  <c r="G144" i="8" a="1"/>
  <c r="G144" i="8" s="1"/>
  <c r="G145" i="8" a="1"/>
  <c r="G145" i="8" s="1"/>
  <c r="G146" i="8" a="1"/>
  <c r="G146" i="8" s="1"/>
  <c r="G147" i="8" a="1"/>
  <c r="G147" i="8" s="1"/>
  <c r="G148" i="8" a="1"/>
  <c r="G148" i="8" s="1"/>
  <c r="G149" i="8" a="1"/>
  <c r="G149" i="8" s="1"/>
  <c r="G150" i="8" a="1"/>
  <c r="G150" i="8" s="1"/>
  <c r="G151" i="8" a="1"/>
  <c r="G151" i="8" s="1"/>
  <c r="G152" i="8" a="1"/>
  <c r="G152" i="8" s="1"/>
  <c r="G153" i="8" a="1"/>
  <c r="G153" i="8" s="1"/>
  <c r="G154" i="8" a="1"/>
  <c r="G154" i="8" s="1"/>
  <c r="G155" i="8" a="1"/>
  <c r="G155" i="8" s="1"/>
  <c r="G156" i="8" a="1"/>
  <c r="G156" i="8" s="1"/>
  <c r="G157" i="8" a="1"/>
  <c r="G157" i="8" s="1"/>
  <c r="G158" i="8" a="1"/>
  <c r="G158" i="8" s="1"/>
  <c r="G159" i="8" a="1"/>
  <c r="G159" i="8" s="1"/>
  <c r="G160" i="8" a="1"/>
  <c r="G160" i="8" s="1"/>
  <c r="G161" i="8" a="1"/>
  <c r="G161" i="8" s="1"/>
  <c r="G162" i="8" a="1"/>
  <c r="G162" i="8" s="1"/>
  <c r="G163" i="8" a="1"/>
  <c r="G163" i="8" s="1"/>
  <c r="G164" i="8" a="1"/>
  <c r="G164" i="8" s="1"/>
  <c r="G165" i="8" a="1"/>
  <c r="G165" i="8" s="1"/>
  <c r="G166" i="8" a="1"/>
  <c r="G166" i="8" s="1"/>
  <c r="G167" i="8" a="1"/>
  <c r="G167" i="8" s="1"/>
  <c r="G168" i="8" a="1"/>
  <c r="G168" i="8" s="1"/>
  <c r="G169" i="8" a="1"/>
  <c r="G169" i="8" s="1"/>
  <c r="G170" i="8" a="1"/>
  <c r="G170" i="8" s="1"/>
  <c r="G171" i="8" a="1"/>
  <c r="G171" i="8" s="1"/>
  <c r="G172" i="8" a="1"/>
  <c r="G172" i="8" s="1"/>
  <c r="G173" i="8" a="1"/>
  <c r="G173" i="8" s="1"/>
  <c r="G174" i="8" a="1"/>
  <c r="G174" i="8" s="1"/>
  <c r="G175" i="8" a="1"/>
  <c r="G175" i="8" s="1"/>
  <c r="G176" i="8" a="1"/>
  <c r="G176" i="8" s="1"/>
  <c r="G177" i="8" a="1"/>
  <c r="G177" i="8" s="1"/>
  <c r="G178" i="8" a="1"/>
  <c r="G178" i="8" s="1"/>
  <c r="G179" i="8" a="1"/>
  <c r="G179" i="8" s="1"/>
  <c r="G180" i="8" a="1"/>
  <c r="G180" i="8" s="1"/>
  <c r="G181" i="8" a="1"/>
  <c r="G181" i="8" s="1"/>
  <c r="G182" i="8" a="1"/>
  <c r="G182" i="8" s="1"/>
  <c r="G183" i="8" a="1"/>
  <c r="G183" i="8" s="1"/>
  <c r="G184" i="8" a="1"/>
  <c r="G184" i="8" s="1"/>
  <c r="G185" i="8" a="1"/>
  <c r="G185" i="8" s="1"/>
  <c r="G186" i="8" a="1"/>
  <c r="G186" i="8" s="1"/>
  <c r="G187" i="8" a="1"/>
  <c r="G187" i="8" s="1"/>
  <c r="G188" i="8" a="1"/>
  <c r="G188" i="8" s="1"/>
  <c r="G189" i="8" a="1"/>
  <c r="G189" i="8" s="1"/>
  <c r="G190" i="8" a="1"/>
  <c r="G190" i="8" s="1"/>
  <c r="G191" i="8" a="1"/>
  <c r="G191" i="8" s="1"/>
  <c r="G192" i="8" a="1"/>
  <c r="G192" i="8" s="1"/>
  <c r="G193" i="8" a="1"/>
  <c r="G193" i="8" s="1"/>
  <c r="G194" i="8" a="1"/>
  <c r="G194" i="8" s="1"/>
  <c r="G195" i="8" a="1"/>
  <c r="G195" i="8" s="1"/>
  <c r="G196" i="8" a="1"/>
  <c r="G196" i="8" s="1"/>
  <c r="G2" i="8" a="1"/>
  <c r="G2" i="8" s="1"/>
  <c r="F3" i="8" a="1"/>
  <c r="F3" i="8" s="1"/>
  <c r="F4" i="8" a="1"/>
  <c r="F4" i="8" s="1"/>
  <c r="F5" i="8" a="1"/>
  <c r="F5" i="8" s="1"/>
  <c r="F6" i="8" a="1"/>
  <c r="F6" i="8" s="1"/>
  <c r="F7" i="8" a="1"/>
  <c r="F7" i="8" s="1"/>
  <c r="F8" i="8" a="1"/>
  <c r="F8" i="8" s="1"/>
  <c r="F9" i="8" a="1"/>
  <c r="F9" i="8" s="1"/>
  <c r="F10" i="8" a="1"/>
  <c r="F10" i="8" s="1"/>
  <c r="F11" i="8" a="1"/>
  <c r="F11" i="8" s="1"/>
  <c r="F12" i="8" a="1"/>
  <c r="F12" i="8" s="1"/>
  <c r="F13" i="8" a="1"/>
  <c r="F13" i="8" s="1"/>
  <c r="F14" i="8" a="1"/>
  <c r="F14" i="8" s="1"/>
  <c r="F15" i="8" a="1"/>
  <c r="F15" i="8" s="1"/>
  <c r="F16" i="8" a="1"/>
  <c r="F16" i="8" s="1"/>
  <c r="F17" i="8" a="1"/>
  <c r="F17" i="8" s="1"/>
  <c r="F18" i="8" a="1"/>
  <c r="F18" i="8" s="1"/>
  <c r="F19" i="8" a="1"/>
  <c r="F19" i="8" s="1"/>
  <c r="F20" i="8" a="1"/>
  <c r="F20" i="8" s="1"/>
  <c r="F21" i="8" a="1"/>
  <c r="F21" i="8" s="1"/>
  <c r="F22" i="8" a="1"/>
  <c r="F22" i="8" s="1"/>
  <c r="F23" i="8" a="1"/>
  <c r="F23" i="8"/>
  <c r="F24" i="8" a="1"/>
  <c r="F24" i="8" s="1"/>
  <c r="F25" i="8" a="1"/>
  <c r="F25" i="8" s="1"/>
  <c r="F26" i="8" a="1"/>
  <c r="F26" i="8" s="1"/>
  <c r="F27" i="8" a="1"/>
  <c r="F27" i="8" s="1"/>
  <c r="F28" i="8" a="1"/>
  <c r="F28" i="8" s="1"/>
  <c r="F29" i="8" a="1"/>
  <c r="F29" i="8" s="1"/>
  <c r="F30" i="8" a="1"/>
  <c r="F30" i="8" s="1"/>
  <c r="F31" i="8" a="1"/>
  <c r="F31" i="8" s="1"/>
  <c r="F32" i="8" a="1"/>
  <c r="F32" i="8" s="1"/>
  <c r="F33" i="8" a="1"/>
  <c r="F33" i="8" s="1"/>
  <c r="F34" i="8" a="1"/>
  <c r="F34" i="8" s="1"/>
  <c r="F35" i="8" a="1"/>
  <c r="F35" i="8" s="1"/>
  <c r="F36" i="8" a="1"/>
  <c r="F36" i="8" s="1"/>
  <c r="F37" i="8" a="1"/>
  <c r="F37" i="8" s="1"/>
  <c r="F38" i="8" a="1"/>
  <c r="F38" i="8" s="1"/>
  <c r="F39" i="8" a="1"/>
  <c r="F39" i="8" s="1"/>
  <c r="F40" i="8" a="1"/>
  <c r="F40" i="8" s="1"/>
  <c r="F41" i="8" a="1"/>
  <c r="F41" i="8" s="1"/>
  <c r="F42" i="8" a="1"/>
  <c r="F42" i="8" s="1"/>
  <c r="F43" i="8" a="1"/>
  <c r="F43" i="8" s="1"/>
  <c r="F44" i="8" a="1"/>
  <c r="F44" i="8" s="1"/>
  <c r="F45" i="8" a="1"/>
  <c r="F45" i="8" s="1"/>
  <c r="F46" i="8" a="1"/>
  <c r="F46" i="8" s="1"/>
  <c r="F47" i="8" a="1"/>
  <c r="F47" i="8" s="1"/>
  <c r="F48" i="8" a="1"/>
  <c r="F48" i="8" s="1"/>
  <c r="F49" i="8" a="1"/>
  <c r="F49" i="8" s="1"/>
  <c r="F50" i="8" a="1"/>
  <c r="F50" i="8" s="1"/>
  <c r="F51" i="8" a="1"/>
  <c r="F51" i="8" s="1"/>
  <c r="F52" i="8" a="1"/>
  <c r="F52" i="8" s="1"/>
  <c r="F53" i="8" a="1"/>
  <c r="F53" i="8" s="1"/>
  <c r="F54" i="8" a="1"/>
  <c r="F54" i="8" s="1"/>
  <c r="F55" i="8" a="1"/>
  <c r="F55" i="8" s="1"/>
  <c r="F56" i="8" a="1"/>
  <c r="F56" i="8" s="1"/>
  <c r="F57" i="8" a="1"/>
  <c r="F57" i="8" s="1"/>
  <c r="F58" i="8" a="1"/>
  <c r="F58" i="8" s="1"/>
  <c r="F59" i="8" a="1"/>
  <c r="F59" i="8" s="1"/>
  <c r="F60" i="8" a="1"/>
  <c r="F60" i="8" s="1"/>
  <c r="F61" i="8" a="1"/>
  <c r="F61" i="8" s="1"/>
  <c r="F62" i="8" a="1"/>
  <c r="F62" i="8" s="1"/>
  <c r="F63" i="8" a="1"/>
  <c r="F63" i="8" s="1"/>
  <c r="F64" i="8" a="1"/>
  <c r="F64" i="8" s="1"/>
  <c r="F65" i="8" a="1"/>
  <c r="F65" i="8" s="1"/>
  <c r="F66" i="8" a="1"/>
  <c r="F66" i="8" s="1"/>
  <c r="F67" i="8" a="1"/>
  <c r="F67" i="8" s="1"/>
  <c r="F68" i="8" a="1"/>
  <c r="F68" i="8" s="1"/>
  <c r="F69" i="8" a="1"/>
  <c r="F69" i="8" s="1"/>
  <c r="F70" i="8" a="1"/>
  <c r="F70" i="8" s="1"/>
  <c r="F71" i="8" a="1"/>
  <c r="F71" i="8" s="1"/>
  <c r="F72" i="8" a="1"/>
  <c r="F72" i="8" s="1"/>
  <c r="F73" i="8" a="1"/>
  <c r="F73" i="8" s="1"/>
  <c r="F74" i="8" a="1"/>
  <c r="F74" i="8" s="1"/>
  <c r="F75" i="8" a="1"/>
  <c r="F75" i="8" s="1"/>
  <c r="F76" i="8" a="1"/>
  <c r="F76" i="8" s="1"/>
  <c r="F77" i="8" a="1"/>
  <c r="F77" i="8" s="1"/>
  <c r="F78" i="8" a="1"/>
  <c r="F78" i="8" s="1"/>
  <c r="F79" i="8" a="1"/>
  <c r="F79" i="8" s="1"/>
  <c r="F80" i="8" a="1"/>
  <c r="F80" i="8" s="1"/>
  <c r="F81" i="8" a="1"/>
  <c r="F81" i="8" s="1"/>
  <c r="F82" i="8" a="1"/>
  <c r="F82" i="8" s="1"/>
  <c r="F83" i="8" a="1"/>
  <c r="F83" i="8" s="1"/>
  <c r="F84" i="8" a="1"/>
  <c r="F84" i="8" s="1"/>
  <c r="F85" i="8" a="1"/>
  <c r="F85" i="8" s="1"/>
  <c r="F86" i="8" a="1"/>
  <c r="F86" i="8" s="1"/>
  <c r="F87" i="8" a="1"/>
  <c r="F87" i="8" s="1"/>
  <c r="F88" i="8" a="1"/>
  <c r="F88" i="8" s="1"/>
  <c r="F89" i="8" a="1"/>
  <c r="F89" i="8" s="1"/>
  <c r="F90" i="8" a="1"/>
  <c r="F90" i="8" s="1"/>
  <c r="F91" i="8" a="1"/>
  <c r="F91" i="8" s="1"/>
  <c r="F92" i="8" a="1"/>
  <c r="F92" i="8" s="1"/>
  <c r="F93" i="8" a="1"/>
  <c r="F93" i="8" s="1"/>
  <c r="F94" i="8" a="1"/>
  <c r="F94" i="8" s="1"/>
  <c r="F95" i="8" a="1"/>
  <c r="F95" i="8" s="1"/>
  <c r="F96" i="8" a="1"/>
  <c r="F96" i="8" s="1"/>
  <c r="F97" i="8" a="1"/>
  <c r="F97" i="8" s="1"/>
  <c r="F98" i="8" a="1"/>
  <c r="F98" i="8" s="1"/>
  <c r="F99" i="8" a="1"/>
  <c r="F99" i="8" s="1"/>
  <c r="F100" i="8" a="1"/>
  <c r="F100" i="8" s="1"/>
  <c r="F101" i="8" a="1"/>
  <c r="F101" i="8" s="1"/>
  <c r="F102" i="8" a="1"/>
  <c r="F102" i="8" s="1"/>
  <c r="F103" i="8" a="1"/>
  <c r="F103" i="8" s="1"/>
  <c r="F104" i="8" a="1"/>
  <c r="F104" i="8" s="1"/>
  <c r="F105" i="8" a="1"/>
  <c r="F105" i="8" s="1"/>
  <c r="F106" i="8" a="1"/>
  <c r="F106" i="8" s="1"/>
  <c r="F107" i="8" a="1"/>
  <c r="F107" i="8" s="1"/>
  <c r="F108" i="8" a="1"/>
  <c r="F108" i="8" s="1"/>
  <c r="F109" i="8" a="1"/>
  <c r="F109" i="8" s="1"/>
  <c r="F110" i="8" a="1"/>
  <c r="F110" i="8" s="1"/>
  <c r="F111" i="8" a="1"/>
  <c r="F111" i="8" s="1"/>
  <c r="F112" i="8" a="1"/>
  <c r="F112" i="8" s="1"/>
  <c r="F113" i="8" a="1"/>
  <c r="F113" i="8" s="1"/>
  <c r="F114" i="8" a="1"/>
  <c r="F114" i="8" s="1"/>
  <c r="F115" i="8" a="1"/>
  <c r="F115" i="8" s="1"/>
  <c r="F116" i="8" a="1"/>
  <c r="F116" i="8" s="1"/>
  <c r="F117" i="8" a="1"/>
  <c r="F117" i="8" s="1"/>
  <c r="F118" i="8" a="1"/>
  <c r="F118" i="8" s="1"/>
  <c r="F119" i="8" a="1"/>
  <c r="F119" i="8" s="1"/>
  <c r="F120" i="8" a="1"/>
  <c r="F120" i="8" s="1"/>
  <c r="F121" i="8" a="1"/>
  <c r="F121" i="8" s="1"/>
  <c r="F122" i="8" a="1"/>
  <c r="F122" i="8" s="1"/>
  <c r="F123" i="8" a="1"/>
  <c r="F123" i="8" s="1"/>
  <c r="F124" i="8" a="1"/>
  <c r="F124" i="8" s="1"/>
  <c r="F125" i="8" a="1"/>
  <c r="F125" i="8" s="1"/>
  <c r="F126" i="8" a="1"/>
  <c r="F126" i="8" s="1"/>
  <c r="F127" i="8" a="1"/>
  <c r="F127" i="8" s="1"/>
  <c r="F128" i="8" a="1"/>
  <c r="F128" i="8" s="1"/>
  <c r="F129" i="8" a="1"/>
  <c r="F129" i="8"/>
  <c r="F130" i="8" a="1"/>
  <c r="F130" i="8" s="1"/>
  <c r="F131" i="8" a="1"/>
  <c r="F131" i="8" s="1"/>
  <c r="F132" i="8" a="1"/>
  <c r="F132" i="8" s="1"/>
  <c r="F133" i="8" a="1"/>
  <c r="F133" i="8" s="1"/>
  <c r="F134" i="8" a="1"/>
  <c r="F134" i="8" s="1"/>
  <c r="F135" i="8" a="1"/>
  <c r="F135" i="8" s="1"/>
  <c r="F136" i="8" a="1"/>
  <c r="F136" i="8" s="1"/>
  <c r="F137" i="8" a="1"/>
  <c r="F137" i="8" s="1"/>
  <c r="F138" i="8" a="1"/>
  <c r="F138" i="8" s="1"/>
  <c r="F139" i="8" a="1"/>
  <c r="F139" i="8" s="1"/>
  <c r="F140" i="8" a="1"/>
  <c r="F140" i="8" s="1"/>
  <c r="F141" i="8" a="1"/>
  <c r="F141" i="8" s="1"/>
  <c r="F142" i="8" a="1"/>
  <c r="F142" i="8" s="1"/>
  <c r="F143" i="8" a="1"/>
  <c r="F143" i="8" s="1"/>
  <c r="F144" i="8" a="1"/>
  <c r="F144" i="8" s="1"/>
  <c r="F145" i="8" a="1"/>
  <c r="F145" i="8" s="1"/>
  <c r="F146" i="8" a="1"/>
  <c r="F146" i="8" s="1"/>
  <c r="F147" i="8" a="1"/>
  <c r="F147" i="8" s="1"/>
  <c r="F148" i="8" a="1"/>
  <c r="F148" i="8" s="1"/>
  <c r="F149" i="8" a="1"/>
  <c r="F149" i="8" s="1"/>
  <c r="F150" i="8" a="1"/>
  <c r="F150" i="8" s="1"/>
  <c r="F151" i="8" a="1"/>
  <c r="F151" i="8" s="1"/>
  <c r="F152" i="8" a="1"/>
  <c r="F152" i="8" s="1"/>
  <c r="F153" i="8" a="1"/>
  <c r="F153" i="8" s="1"/>
  <c r="F154" i="8" a="1"/>
  <c r="F154" i="8" s="1"/>
  <c r="F155" i="8" a="1"/>
  <c r="F155" i="8" s="1"/>
  <c r="F156" i="8" a="1"/>
  <c r="F156" i="8" s="1"/>
  <c r="F157" i="8" a="1"/>
  <c r="F157" i="8" s="1"/>
  <c r="F158" i="8" a="1"/>
  <c r="F158" i="8" s="1"/>
  <c r="F159" i="8" a="1"/>
  <c r="F159" i="8" s="1"/>
  <c r="F160" i="8" a="1"/>
  <c r="F160" i="8" s="1"/>
  <c r="F161" i="8" a="1"/>
  <c r="F161" i="8" s="1"/>
  <c r="F162" i="8" a="1"/>
  <c r="F162" i="8" s="1"/>
  <c r="F163" i="8" a="1"/>
  <c r="F163" i="8" s="1"/>
  <c r="F164" i="8" a="1"/>
  <c r="F164" i="8" s="1"/>
  <c r="F165" i="8" a="1"/>
  <c r="F165" i="8" s="1"/>
  <c r="F166" i="8" a="1"/>
  <c r="F166" i="8" s="1"/>
  <c r="F167" i="8" a="1"/>
  <c r="F167" i="8" s="1"/>
  <c r="F168" i="8" a="1"/>
  <c r="F168" i="8" s="1"/>
  <c r="F169" i="8" a="1"/>
  <c r="F169" i="8" s="1"/>
  <c r="F170" i="8" a="1"/>
  <c r="F170" i="8" s="1"/>
  <c r="F171" i="8" a="1"/>
  <c r="F171" i="8" s="1"/>
  <c r="F172" i="8" a="1"/>
  <c r="F172" i="8" s="1"/>
  <c r="F173" i="8" a="1"/>
  <c r="F173" i="8" s="1"/>
  <c r="F174" i="8" a="1"/>
  <c r="F174" i="8" s="1"/>
  <c r="F175" i="8" a="1"/>
  <c r="F175" i="8" s="1"/>
  <c r="F176" i="8" a="1"/>
  <c r="F176" i="8" s="1"/>
  <c r="F177" i="8" a="1"/>
  <c r="F177" i="8" s="1"/>
  <c r="F178" i="8" a="1"/>
  <c r="F178" i="8" s="1"/>
  <c r="F179" i="8" a="1"/>
  <c r="F179" i="8" s="1"/>
  <c r="F180" i="8" a="1"/>
  <c r="F180" i="8" s="1"/>
  <c r="F181" i="8" a="1"/>
  <c r="F181" i="8" s="1"/>
  <c r="F182" i="8" a="1"/>
  <c r="F182" i="8" s="1"/>
  <c r="F183" i="8" a="1"/>
  <c r="F183" i="8" s="1"/>
  <c r="F184" i="8" a="1"/>
  <c r="F184" i="8" s="1"/>
  <c r="F185" i="8" a="1"/>
  <c r="F185" i="8" s="1"/>
  <c r="F186" i="8" a="1"/>
  <c r="F186" i="8" s="1"/>
  <c r="F187" i="8" a="1"/>
  <c r="F187" i="8" s="1"/>
  <c r="F188" i="8" a="1"/>
  <c r="F188" i="8" s="1"/>
  <c r="F189" i="8" a="1"/>
  <c r="F189" i="8" s="1"/>
  <c r="F190" i="8" a="1"/>
  <c r="F190" i="8" s="1"/>
  <c r="F191" i="8" a="1"/>
  <c r="F191" i="8" s="1"/>
  <c r="F192" i="8" a="1"/>
  <c r="F192" i="8" s="1"/>
  <c r="F193" i="8" a="1"/>
  <c r="F193" i="8" s="1"/>
  <c r="F194" i="8" a="1"/>
  <c r="F194" i="8" s="1"/>
  <c r="F195" i="8" a="1"/>
  <c r="F195" i="8" s="1"/>
  <c r="F196" i="8" a="1"/>
  <c r="F196" i="8" s="1"/>
  <c r="F2" i="8" a="1"/>
  <c r="F2" i="8" s="1"/>
  <c r="E3" i="8" a="1"/>
  <c r="E3" i="8" s="1"/>
  <c r="E4" i="8" a="1"/>
  <c r="E4" i="8" s="1"/>
  <c r="E5" i="8" a="1"/>
  <c r="E5" i="8" s="1"/>
  <c r="E6" i="8" a="1"/>
  <c r="E6" i="8" s="1"/>
  <c r="E7" i="8" a="1"/>
  <c r="E7" i="8" s="1"/>
  <c r="E8" i="8" a="1"/>
  <c r="E8" i="8" s="1"/>
  <c r="E9" i="8" a="1"/>
  <c r="E9" i="8" s="1"/>
  <c r="E10" i="8" a="1"/>
  <c r="E10" i="8" s="1"/>
  <c r="E11" i="8" a="1"/>
  <c r="E11" i="8" s="1"/>
  <c r="E12" i="8" a="1"/>
  <c r="E12" i="8" s="1"/>
  <c r="E13" i="8" a="1"/>
  <c r="E13" i="8" s="1"/>
  <c r="E14" i="8" a="1"/>
  <c r="E14" i="8" s="1"/>
  <c r="E15" i="8" a="1"/>
  <c r="E15" i="8" s="1"/>
  <c r="E16" i="8" a="1"/>
  <c r="E16" i="8" s="1"/>
  <c r="E17" i="8" a="1"/>
  <c r="E17" i="8" s="1"/>
  <c r="E18" i="8" a="1"/>
  <c r="E18" i="8" s="1"/>
  <c r="E19" i="8" a="1"/>
  <c r="E19" i="8" s="1"/>
  <c r="E20" i="8" a="1"/>
  <c r="E20" i="8" s="1"/>
  <c r="E21" i="8" a="1"/>
  <c r="E21" i="8" s="1"/>
  <c r="E22" i="8" a="1"/>
  <c r="E22" i="8" s="1"/>
  <c r="E23" i="8" a="1"/>
  <c r="E23" i="8" s="1"/>
  <c r="E24" i="8" a="1"/>
  <c r="E24" i="8" s="1"/>
  <c r="E25" i="8" a="1"/>
  <c r="E25" i="8" s="1"/>
  <c r="E26" i="8" a="1"/>
  <c r="E26" i="8" s="1"/>
  <c r="E27" i="8" a="1"/>
  <c r="E27" i="8" s="1"/>
  <c r="E28" i="8" a="1"/>
  <c r="E28" i="8" s="1"/>
  <c r="E29" i="8" a="1"/>
  <c r="E29" i="8" s="1"/>
  <c r="E30" i="8" a="1"/>
  <c r="E30" i="8" s="1"/>
  <c r="E31" i="8" a="1"/>
  <c r="E31" i="8" s="1"/>
  <c r="E32" i="8" a="1"/>
  <c r="E32" i="8" s="1"/>
  <c r="E33" i="8" a="1"/>
  <c r="E33" i="8" s="1"/>
  <c r="E34" i="8" a="1"/>
  <c r="E34" i="8" s="1"/>
  <c r="E35" i="8" a="1"/>
  <c r="E35" i="8" s="1"/>
  <c r="E36" i="8" a="1"/>
  <c r="E36" i="8" s="1"/>
  <c r="E37" i="8" a="1"/>
  <c r="E37" i="8" s="1"/>
  <c r="E38" i="8" a="1"/>
  <c r="E38" i="8" s="1"/>
  <c r="E39" i="8" a="1"/>
  <c r="E39" i="8" s="1"/>
  <c r="E40" i="8" a="1"/>
  <c r="E40" i="8" s="1"/>
  <c r="E41" i="8" a="1"/>
  <c r="E41" i="8" s="1"/>
  <c r="E42" i="8" a="1"/>
  <c r="E42" i="8" s="1"/>
  <c r="E43" i="8" a="1"/>
  <c r="E43" i="8" s="1"/>
  <c r="E44" i="8" a="1"/>
  <c r="E44" i="8" s="1"/>
  <c r="E45" i="8" a="1"/>
  <c r="E45" i="8" s="1"/>
  <c r="E46" i="8" a="1"/>
  <c r="E46" i="8" s="1"/>
  <c r="E47" i="8" a="1"/>
  <c r="E47" i="8" s="1"/>
  <c r="E48" i="8" a="1"/>
  <c r="E48" i="8" s="1"/>
  <c r="E49" i="8" a="1"/>
  <c r="E49" i="8" s="1"/>
  <c r="E50" i="8" a="1"/>
  <c r="E50" i="8" s="1"/>
  <c r="E51" i="8" a="1"/>
  <c r="E51" i="8" s="1"/>
  <c r="E52" i="8" a="1"/>
  <c r="E52" i="8" s="1"/>
  <c r="E53" i="8" a="1"/>
  <c r="E53" i="8" s="1"/>
  <c r="E54" i="8" a="1"/>
  <c r="E54" i="8" s="1"/>
  <c r="E55" i="8" a="1"/>
  <c r="E55" i="8" s="1"/>
  <c r="E56" i="8" a="1"/>
  <c r="E56" i="8" s="1"/>
  <c r="E57" i="8" a="1"/>
  <c r="E57" i="8" s="1"/>
  <c r="E58" i="8" a="1"/>
  <c r="E58" i="8" s="1"/>
  <c r="E59" i="8" a="1"/>
  <c r="E59" i="8" s="1"/>
  <c r="E60" i="8" a="1"/>
  <c r="E60" i="8" s="1"/>
  <c r="E61" i="8" a="1"/>
  <c r="E61" i="8" s="1"/>
  <c r="E62" i="8" a="1"/>
  <c r="E62" i="8" s="1"/>
  <c r="E63" i="8" a="1"/>
  <c r="E63" i="8" s="1"/>
  <c r="E64" i="8" a="1"/>
  <c r="E64" i="8" s="1"/>
  <c r="E65" i="8" a="1"/>
  <c r="E65" i="8" s="1"/>
  <c r="E66" i="8" a="1"/>
  <c r="E66" i="8" s="1"/>
  <c r="E67" i="8" a="1"/>
  <c r="E67" i="8" s="1"/>
  <c r="E68" i="8" a="1"/>
  <c r="E68" i="8" s="1"/>
  <c r="E69" i="8" a="1"/>
  <c r="E69" i="8" s="1"/>
  <c r="E70" i="8" a="1"/>
  <c r="E70" i="8" s="1"/>
  <c r="E71" i="8" a="1"/>
  <c r="E71" i="8" s="1"/>
  <c r="E72" i="8" a="1"/>
  <c r="E72" i="8" s="1"/>
  <c r="E73" i="8" a="1"/>
  <c r="E73" i="8" s="1"/>
  <c r="E74" i="8" a="1"/>
  <c r="E74" i="8" s="1"/>
  <c r="E75" i="8" a="1"/>
  <c r="E75" i="8" s="1"/>
  <c r="E76" i="8" a="1"/>
  <c r="E76" i="8" s="1"/>
  <c r="E77" i="8" a="1"/>
  <c r="E77" i="8" s="1"/>
  <c r="E78" i="8" a="1"/>
  <c r="E78" i="8" s="1"/>
  <c r="E79" i="8" a="1"/>
  <c r="E79" i="8" s="1"/>
  <c r="E80" i="8" a="1"/>
  <c r="E80" i="8" s="1"/>
  <c r="E81" i="8" a="1"/>
  <c r="E81" i="8" s="1"/>
  <c r="E82" i="8" a="1"/>
  <c r="E82" i="8" s="1"/>
  <c r="E83" i="8" a="1"/>
  <c r="E83" i="8" s="1"/>
  <c r="E84" i="8" a="1"/>
  <c r="E84" i="8" s="1"/>
  <c r="E85" i="8" a="1"/>
  <c r="E85" i="8" s="1"/>
  <c r="E86" i="8" a="1"/>
  <c r="E86" i="8" s="1"/>
  <c r="E87" i="8" a="1"/>
  <c r="E87" i="8" s="1"/>
  <c r="E88" i="8" a="1"/>
  <c r="E88" i="8" s="1"/>
  <c r="E89" i="8" a="1"/>
  <c r="E89" i="8" s="1"/>
  <c r="E90" i="8" a="1"/>
  <c r="E90" i="8" s="1"/>
  <c r="E91" i="8" a="1"/>
  <c r="E91" i="8" s="1"/>
  <c r="E92" i="8" a="1"/>
  <c r="E92" i="8" s="1"/>
  <c r="E93" i="8" a="1"/>
  <c r="E93" i="8" s="1"/>
  <c r="E94" i="8" a="1"/>
  <c r="E94" i="8" s="1"/>
  <c r="E95" i="8" a="1"/>
  <c r="E95" i="8" s="1"/>
  <c r="E96" i="8" a="1"/>
  <c r="E96" i="8" s="1"/>
  <c r="E97" i="8" a="1"/>
  <c r="E97" i="8" s="1"/>
  <c r="E98" i="8" a="1"/>
  <c r="E98" i="8" s="1"/>
  <c r="E99" i="8" a="1"/>
  <c r="E99" i="8" s="1"/>
  <c r="E100" i="8" a="1"/>
  <c r="E100" i="8" s="1"/>
  <c r="E101" i="8" a="1"/>
  <c r="E101" i="8" s="1"/>
  <c r="E102" i="8" a="1"/>
  <c r="E102" i="8" s="1"/>
  <c r="E103" i="8" a="1"/>
  <c r="E103" i="8" s="1"/>
  <c r="E104" i="8" a="1"/>
  <c r="E104" i="8" s="1"/>
  <c r="E105" i="8" a="1"/>
  <c r="E105" i="8" s="1"/>
  <c r="E106" i="8" a="1"/>
  <c r="E106" i="8" s="1"/>
  <c r="E107" i="8" a="1"/>
  <c r="E107" i="8" s="1"/>
  <c r="E108" i="8" a="1"/>
  <c r="E108" i="8" s="1"/>
  <c r="E109" i="8" a="1"/>
  <c r="E109" i="8" s="1"/>
  <c r="E110" i="8" a="1"/>
  <c r="E110" i="8" s="1"/>
  <c r="E111" i="8" a="1"/>
  <c r="E111" i="8" s="1"/>
  <c r="E112" i="8" a="1"/>
  <c r="E112" i="8" s="1"/>
  <c r="E113" i="8" a="1"/>
  <c r="E113" i="8" s="1"/>
  <c r="E114" i="8" a="1"/>
  <c r="E114" i="8" s="1"/>
  <c r="E115" i="8" a="1"/>
  <c r="E115" i="8" s="1"/>
  <c r="E116" i="8" a="1"/>
  <c r="E116" i="8" s="1"/>
  <c r="E117" i="8" a="1"/>
  <c r="E117" i="8" s="1"/>
  <c r="E118" i="8" a="1"/>
  <c r="E118" i="8" s="1"/>
  <c r="E119" i="8" a="1"/>
  <c r="E119" i="8" s="1"/>
  <c r="E120" i="8" a="1"/>
  <c r="E120" i="8" s="1"/>
  <c r="E121" i="8" a="1"/>
  <c r="E121" i="8" s="1"/>
  <c r="E122" i="8" a="1"/>
  <c r="E122" i="8" s="1"/>
  <c r="E123" i="8" a="1"/>
  <c r="E123" i="8" s="1"/>
  <c r="E124" i="8" a="1"/>
  <c r="E124" i="8" s="1"/>
  <c r="E125" i="8" a="1"/>
  <c r="E125" i="8" s="1"/>
  <c r="E126" i="8" a="1"/>
  <c r="E126" i="8" s="1"/>
  <c r="E127" i="8" a="1"/>
  <c r="E127" i="8" s="1"/>
  <c r="E128" i="8" a="1"/>
  <c r="E128" i="8" s="1"/>
  <c r="E129" i="8" a="1"/>
  <c r="E129" i="8" s="1"/>
  <c r="E130" i="8" a="1"/>
  <c r="E130" i="8" s="1"/>
  <c r="E131" i="8" a="1"/>
  <c r="E131" i="8" s="1"/>
  <c r="E132" i="8" a="1"/>
  <c r="E132" i="8" s="1"/>
  <c r="E133" i="8" a="1"/>
  <c r="E133" i="8" s="1"/>
  <c r="E134" i="8" a="1"/>
  <c r="E134" i="8" s="1"/>
  <c r="E135" i="8" a="1"/>
  <c r="E135" i="8" s="1"/>
  <c r="E136" i="8" a="1"/>
  <c r="E136" i="8" s="1"/>
  <c r="E137" i="8" a="1"/>
  <c r="E137" i="8" s="1"/>
  <c r="E138" i="8" a="1"/>
  <c r="E138" i="8" s="1"/>
  <c r="E139" i="8" a="1"/>
  <c r="E139" i="8" s="1"/>
  <c r="E140" i="8" a="1"/>
  <c r="E140" i="8" s="1"/>
  <c r="E141" i="8" a="1"/>
  <c r="E141" i="8" s="1"/>
  <c r="E142" i="8" a="1"/>
  <c r="E142" i="8" s="1"/>
  <c r="E143" i="8" a="1"/>
  <c r="E143" i="8" s="1"/>
  <c r="E144" i="8" a="1"/>
  <c r="E144" i="8" s="1"/>
  <c r="E145" i="8" a="1"/>
  <c r="E145" i="8" s="1"/>
  <c r="E146" i="8" a="1"/>
  <c r="E146" i="8" s="1"/>
  <c r="E147" i="8" a="1"/>
  <c r="E147" i="8" s="1"/>
  <c r="E148" i="8" a="1"/>
  <c r="E148" i="8" s="1"/>
  <c r="E149" i="8" a="1"/>
  <c r="E149" i="8" s="1"/>
  <c r="E150" i="8" a="1"/>
  <c r="E150" i="8" s="1"/>
  <c r="E151" i="8" a="1"/>
  <c r="E151" i="8" s="1"/>
  <c r="E152" i="8" a="1"/>
  <c r="E152" i="8" s="1"/>
  <c r="E153" i="8" a="1"/>
  <c r="E153" i="8" s="1"/>
  <c r="E154" i="8" a="1"/>
  <c r="E154" i="8" s="1"/>
  <c r="E155" i="8" a="1"/>
  <c r="E155" i="8" s="1"/>
  <c r="E156" i="8" a="1"/>
  <c r="E156" i="8" s="1"/>
  <c r="E157" i="8" a="1"/>
  <c r="E157" i="8" s="1"/>
  <c r="E158" i="8" a="1"/>
  <c r="E158" i="8" s="1"/>
  <c r="E159" i="8" a="1"/>
  <c r="E159" i="8" s="1"/>
  <c r="E160" i="8" a="1"/>
  <c r="E160" i="8" s="1"/>
  <c r="E161" i="8" a="1"/>
  <c r="E161" i="8" s="1"/>
  <c r="E162" i="8" a="1"/>
  <c r="E162" i="8" s="1"/>
  <c r="E163" i="8" a="1"/>
  <c r="E163" i="8" s="1"/>
  <c r="E164" i="8" a="1"/>
  <c r="E164" i="8" s="1"/>
  <c r="E165" i="8" a="1"/>
  <c r="E165" i="8" s="1"/>
  <c r="E166" i="8" a="1"/>
  <c r="E166" i="8" s="1"/>
  <c r="E167" i="8" a="1"/>
  <c r="E167" i="8" s="1"/>
  <c r="E168" i="8" a="1"/>
  <c r="E168" i="8" s="1"/>
  <c r="E169" i="8" a="1"/>
  <c r="E169" i="8" s="1"/>
  <c r="E170" i="8" a="1"/>
  <c r="E170" i="8" s="1"/>
  <c r="E171" i="8" a="1"/>
  <c r="E171" i="8" s="1"/>
  <c r="E172" i="8" a="1"/>
  <c r="E172" i="8" s="1"/>
  <c r="E173" i="8" a="1"/>
  <c r="E173" i="8" s="1"/>
  <c r="E174" i="8" a="1"/>
  <c r="E174" i="8" s="1"/>
  <c r="E175" i="8" a="1"/>
  <c r="E175" i="8" s="1"/>
  <c r="E176" i="8" a="1"/>
  <c r="E176" i="8" s="1"/>
  <c r="E177" i="8" a="1"/>
  <c r="E177" i="8" s="1"/>
  <c r="E178" i="8" a="1"/>
  <c r="E178" i="8" s="1"/>
  <c r="E179" i="8" a="1"/>
  <c r="E179" i="8" s="1"/>
  <c r="E180" i="8" a="1"/>
  <c r="E180" i="8" s="1"/>
  <c r="E181" i="8" a="1"/>
  <c r="E181" i="8" s="1"/>
  <c r="E182" i="8" a="1"/>
  <c r="E182" i="8" s="1"/>
  <c r="E183" i="8" a="1"/>
  <c r="E183" i="8" s="1"/>
  <c r="E184" i="8" a="1"/>
  <c r="E184" i="8" s="1"/>
  <c r="E185" i="8" a="1"/>
  <c r="E185" i="8" s="1"/>
  <c r="E186" i="8" a="1"/>
  <c r="E186" i="8" s="1"/>
  <c r="E187" i="8" a="1"/>
  <c r="E187" i="8" s="1"/>
  <c r="E188" i="8" a="1"/>
  <c r="E188" i="8" s="1"/>
  <c r="E189" i="8" a="1"/>
  <c r="E189" i="8" s="1"/>
  <c r="E190" i="8" a="1"/>
  <c r="E190" i="8" s="1"/>
  <c r="E191" i="8" a="1"/>
  <c r="E191" i="8" s="1"/>
  <c r="E192" i="8" a="1"/>
  <c r="E192" i="8" s="1"/>
  <c r="E193" i="8" a="1"/>
  <c r="E193" i="8" s="1"/>
  <c r="E194" i="8" a="1"/>
  <c r="E194" i="8" s="1"/>
  <c r="E195" i="8" a="1"/>
  <c r="E195" i="8" s="1"/>
  <c r="E196" i="8" a="1"/>
  <c r="E196" i="8" s="1"/>
  <c r="E2" i="8" a="1"/>
  <c r="E2" i="8" s="1"/>
  <c r="D3" i="8" a="1"/>
  <c r="D3" i="8" s="1"/>
  <c r="D4" i="8" a="1"/>
  <c r="D4" i="8" s="1"/>
  <c r="D5" i="8" a="1"/>
  <c r="D5" i="8" s="1"/>
  <c r="D6" i="8" a="1"/>
  <c r="D6" i="8" s="1"/>
  <c r="D7" i="8" a="1"/>
  <c r="D7" i="8" s="1"/>
  <c r="D8" i="8" a="1"/>
  <c r="D8" i="8" s="1"/>
  <c r="D9" i="8" a="1"/>
  <c r="D9" i="8" s="1"/>
  <c r="D10" i="8" a="1"/>
  <c r="D10" i="8" s="1"/>
  <c r="D11" i="8" a="1"/>
  <c r="D11" i="8" s="1"/>
  <c r="D12" i="8" a="1"/>
  <c r="D12" i="8" s="1"/>
  <c r="D13" i="8" a="1"/>
  <c r="D13" i="8" s="1"/>
  <c r="D14" i="8" a="1"/>
  <c r="D14" i="8" s="1"/>
  <c r="D15" i="8" a="1"/>
  <c r="D15" i="8" s="1"/>
  <c r="D16" i="8" a="1"/>
  <c r="D16" i="8" s="1"/>
  <c r="D17" i="8" a="1"/>
  <c r="D17" i="8" s="1"/>
  <c r="D18" i="8" a="1"/>
  <c r="D18" i="8" s="1"/>
  <c r="D19" i="8" a="1"/>
  <c r="D19" i="8" s="1"/>
  <c r="D20" i="8" a="1"/>
  <c r="D20" i="8" s="1"/>
  <c r="D21" i="8" a="1"/>
  <c r="D21" i="8" s="1"/>
  <c r="D22" i="8" a="1"/>
  <c r="D22" i="8" s="1"/>
  <c r="D23" i="8" a="1"/>
  <c r="D23" i="8" s="1"/>
  <c r="D24" i="8" a="1"/>
  <c r="D24" i="8" s="1"/>
  <c r="D25" i="8" a="1"/>
  <c r="D25" i="8" s="1"/>
  <c r="D26" i="8" a="1"/>
  <c r="D26" i="8" s="1"/>
  <c r="D27" i="8" a="1"/>
  <c r="D27" i="8" s="1"/>
  <c r="D28" i="8" a="1"/>
  <c r="D28" i="8" s="1"/>
  <c r="D29" i="8" a="1"/>
  <c r="D29" i="8" s="1"/>
  <c r="D30" i="8" a="1"/>
  <c r="D30" i="8" s="1"/>
  <c r="D31" i="8" a="1"/>
  <c r="D31" i="8" s="1"/>
  <c r="D32" i="8" a="1"/>
  <c r="D32" i="8" s="1"/>
  <c r="D33" i="8" a="1"/>
  <c r="D33" i="8" s="1"/>
  <c r="D34" i="8" a="1"/>
  <c r="D34" i="8" s="1"/>
  <c r="D35" i="8" a="1"/>
  <c r="D35" i="8" s="1"/>
  <c r="D36" i="8" a="1"/>
  <c r="D36" i="8" s="1"/>
  <c r="D37" i="8" a="1"/>
  <c r="D37" i="8" s="1"/>
  <c r="D38" i="8" a="1"/>
  <c r="D38" i="8" s="1"/>
  <c r="D39" i="8" a="1"/>
  <c r="D39" i="8" s="1"/>
  <c r="D40" i="8" a="1"/>
  <c r="D40" i="8" s="1"/>
  <c r="D41" i="8" a="1"/>
  <c r="D41" i="8" s="1"/>
  <c r="D42" i="8" a="1"/>
  <c r="D42" i="8" s="1"/>
  <c r="D43" i="8" a="1"/>
  <c r="D43" i="8" s="1"/>
  <c r="D44" i="8" a="1"/>
  <c r="D44" i="8" s="1"/>
  <c r="D45" i="8" a="1"/>
  <c r="D45" i="8" s="1"/>
  <c r="D46" i="8" a="1"/>
  <c r="D46" i="8" s="1"/>
  <c r="D47" i="8" a="1"/>
  <c r="D47" i="8" s="1"/>
  <c r="D48" i="8" a="1"/>
  <c r="D48" i="8" s="1"/>
  <c r="D49" i="8" a="1"/>
  <c r="D49" i="8" s="1"/>
  <c r="D50" i="8" a="1"/>
  <c r="D50" i="8" s="1"/>
  <c r="D51" i="8" a="1"/>
  <c r="D51" i="8" s="1"/>
  <c r="D52" i="8" a="1"/>
  <c r="D52" i="8" s="1"/>
  <c r="D53" i="8" a="1"/>
  <c r="D53" i="8" s="1"/>
  <c r="D54" i="8" a="1"/>
  <c r="D54" i="8" s="1"/>
  <c r="D55" i="8" a="1"/>
  <c r="D55" i="8" s="1"/>
  <c r="D56" i="8" a="1"/>
  <c r="D56" i="8" s="1"/>
  <c r="D57" i="8" a="1"/>
  <c r="D57" i="8" s="1"/>
  <c r="D58" i="8" a="1"/>
  <c r="D58" i="8" s="1"/>
  <c r="D59" i="8" a="1"/>
  <c r="D59" i="8" s="1"/>
  <c r="D60" i="8" a="1"/>
  <c r="D60" i="8" s="1"/>
  <c r="D61" i="8" a="1"/>
  <c r="D61" i="8" s="1"/>
  <c r="D62" i="8" a="1"/>
  <c r="D62" i="8" s="1"/>
  <c r="D63" i="8" a="1"/>
  <c r="D63" i="8" s="1"/>
  <c r="D64" i="8" a="1"/>
  <c r="D64" i="8" s="1"/>
  <c r="D65" i="8" a="1"/>
  <c r="D65" i="8" s="1"/>
  <c r="D66" i="8" a="1"/>
  <c r="D66" i="8" s="1"/>
  <c r="D67" i="8" a="1"/>
  <c r="D67" i="8" s="1"/>
  <c r="D68" i="8" a="1"/>
  <c r="D68" i="8" s="1"/>
  <c r="D69" i="8" a="1"/>
  <c r="D69" i="8" s="1"/>
  <c r="D70" i="8" a="1"/>
  <c r="D70" i="8" s="1"/>
  <c r="D71" i="8" a="1"/>
  <c r="D71" i="8" s="1"/>
  <c r="D72" i="8" a="1"/>
  <c r="D72" i="8" s="1"/>
  <c r="D73" i="8" a="1"/>
  <c r="D73" i="8" s="1"/>
  <c r="D74" i="8" a="1"/>
  <c r="D74" i="8" s="1"/>
  <c r="D75" i="8" a="1"/>
  <c r="D75" i="8" s="1"/>
  <c r="D76" i="8" a="1"/>
  <c r="D76" i="8" s="1"/>
  <c r="D77" i="8" a="1"/>
  <c r="D77" i="8" s="1"/>
  <c r="D78" i="8" a="1"/>
  <c r="D78" i="8" s="1"/>
  <c r="D79" i="8" a="1"/>
  <c r="D79" i="8" s="1"/>
  <c r="D80" i="8" a="1"/>
  <c r="D80" i="8" s="1"/>
  <c r="D81" i="8" a="1"/>
  <c r="D81" i="8" s="1"/>
  <c r="D82" i="8" a="1"/>
  <c r="D82" i="8" s="1"/>
  <c r="D83" i="8" a="1"/>
  <c r="D83" i="8" s="1"/>
  <c r="D84" i="8" a="1"/>
  <c r="D84" i="8" s="1"/>
  <c r="D85" i="8" a="1"/>
  <c r="D85" i="8" s="1"/>
  <c r="D86" i="8" a="1"/>
  <c r="D86" i="8" s="1"/>
  <c r="D87" i="8" a="1"/>
  <c r="D87" i="8" s="1"/>
  <c r="D88" i="8" a="1"/>
  <c r="D88" i="8" s="1"/>
  <c r="D89" i="8" a="1"/>
  <c r="D89" i="8" s="1"/>
  <c r="D90" i="8" a="1"/>
  <c r="D90" i="8" s="1"/>
  <c r="D91" i="8" a="1"/>
  <c r="D91" i="8" s="1"/>
  <c r="D92" i="8" a="1"/>
  <c r="D92" i="8" s="1"/>
  <c r="D93" i="8" a="1"/>
  <c r="D93" i="8" s="1"/>
  <c r="D94" i="8" a="1"/>
  <c r="D94" i="8" s="1"/>
  <c r="D95" i="8" a="1"/>
  <c r="D95" i="8" s="1"/>
  <c r="D96" i="8" a="1"/>
  <c r="D96" i="8" s="1"/>
  <c r="D97" i="8" a="1"/>
  <c r="D97" i="8" s="1"/>
  <c r="D98" i="8" a="1"/>
  <c r="D98" i="8" s="1"/>
  <c r="D99" i="8" a="1"/>
  <c r="D99" i="8" s="1"/>
  <c r="D100" i="8" a="1"/>
  <c r="D100" i="8" s="1"/>
  <c r="D101" i="8" a="1"/>
  <c r="D101" i="8" s="1"/>
  <c r="D102" i="8" a="1"/>
  <c r="D102" i="8" s="1"/>
  <c r="D103" i="8" a="1"/>
  <c r="D103" i="8" s="1"/>
  <c r="D104" i="8" a="1"/>
  <c r="D104" i="8" s="1"/>
  <c r="D105" i="8" a="1"/>
  <c r="D105" i="8" s="1"/>
  <c r="D106" i="8" a="1"/>
  <c r="D106" i="8" s="1"/>
  <c r="D107" i="8" a="1"/>
  <c r="D107" i="8" s="1"/>
  <c r="D108" i="8" a="1"/>
  <c r="D108" i="8" s="1"/>
  <c r="D109" i="8" a="1"/>
  <c r="D109" i="8" s="1"/>
  <c r="D110" i="8" a="1"/>
  <c r="D110" i="8" s="1"/>
  <c r="D111" i="8" a="1"/>
  <c r="D111" i="8" s="1"/>
  <c r="D112" i="8" a="1"/>
  <c r="D112" i="8" s="1"/>
  <c r="D113" i="8" a="1"/>
  <c r="D113" i="8" s="1"/>
  <c r="D114" i="8" a="1"/>
  <c r="D114" i="8" s="1"/>
  <c r="D115" i="8" a="1"/>
  <c r="D115" i="8" s="1"/>
  <c r="D116" i="8" a="1"/>
  <c r="D116" i="8" s="1"/>
  <c r="D117" i="8" a="1"/>
  <c r="D117" i="8" s="1"/>
  <c r="D118" i="8" a="1"/>
  <c r="D118" i="8" s="1"/>
  <c r="D119" i="8" a="1"/>
  <c r="D119" i="8" s="1"/>
  <c r="D120" i="8" a="1"/>
  <c r="D120" i="8" s="1"/>
  <c r="D121" i="8" a="1"/>
  <c r="D121" i="8" s="1"/>
  <c r="D122" i="8" a="1"/>
  <c r="D122" i="8" s="1"/>
  <c r="D123" i="8" a="1"/>
  <c r="D123" i="8" s="1"/>
  <c r="D124" i="8" a="1"/>
  <c r="D124" i="8" s="1"/>
  <c r="D125" i="8" a="1"/>
  <c r="D125" i="8" s="1"/>
  <c r="D126" i="8" a="1"/>
  <c r="D126" i="8" s="1"/>
  <c r="D127" i="8" a="1"/>
  <c r="D127" i="8" s="1"/>
  <c r="D128" i="8" a="1"/>
  <c r="D128" i="8" s="1"/>
  <c r="D129" i="8" a="1"/>
  <c r="D129" i="8" s="1"/>
  <c r="D130" i="8" a="1"/>
  <c r="D130" i="8" s="1"/>
  <c r="D131" i="8" a="1"/>
  <c r="D131" i="8" s="1"/>
  <c r="D132" i="8" a="1"/>
  <c r="D132" i="8" s="1"/>
  <c r="D133" i="8" a="1"/>
  <c r="D133" i="8" s="1"/>
  <c r="D134" i="8" a="1"/>
  <c r="D134" i="8"/>
  <c r="D135" i="8" a="1"/>
  <c r="D135" i="8" s="1"/>
  <c r="D136" i="8" a="1"/>
  <c r="D136" i="8" s="1"/>
  <c r="D137" i="8" a="1"/>
  <c r="D137" i="8" s="1"/>
  <c r="D138" i="8" a="1"/>
  <c r="D138" i="8" s="1"/>
  <c r="D139" i="8" a="1"/>
  <c r="D139" i="8" s="1"/>
  <c r="D140" i="8" a="1"/>
  <c r="D140" i="8" s="1"/>
  <c r="D141" i="8" a="1"/>
  <c r="D141" i="8" s="1"/>
  <c r="D142" i="8" a="1"/>
  <c r="D142" i="8" s="1"/>
  <c r="D143" i="8" a="1"/>
  <c r="D143" i="8" s="1"/>
  <c r="D144" i="8" a="1"/>
  <c r="D144" i="8" s="1"/>
  <c r="D145" i="8" a="1"/>
  <c r="D145" i="8" s="1"/>
  <c r="D146" i="8" a="1"/>
  <c r="D146" i="8" s="1"/>
  <c r="D147" i="8" a="1"/>
  <c r="D147" i="8" s="1"/>
  <c r="D148" i="8" a="1"/>
  <c r="D148" i="8" s="1"/>
  <c r="D149" i="8" a="1"/>
  <c r="D149" i="8" s="1"/>
  <c r="D150" i="8" a="1"/>
  <c r="D150" i="8" s="1"/>
  <c r="D151" i="8" a="1"/>
  <c r="D151" i="8" s="1"/>
  <c r="D152" i="8" a="1"/>
  <c r="D152" i="8" s="1"/>
  <c r="D153" i="8" a="1"/>
  <c r="D153" i="8" s="1"/>
  <c r="D154" i="8" a="1"/>
  <c r="D154" i="8" s="1"/>
  <c r="D155" i="8" a="1"/>
  <c r="D155" i="8" s="1"/>
  <c r="D156" i="8" a="1"/>
  <c r="D156" i="8" s="1"/>
  <c r="D157" i="8" a="1"/>
  <c r="D157" i="8" s="1"/>
  <c r="D158" i="8" a="1"/>
  <c r="D158" i="8" s="1"/>
  <c r="D159" i="8" a="1"/>
  <c r="D159" i="8" s="1"/>
  <c r="D160" i="8" a="1"/>
  <c r="D160" i="8" s="1"/>
  <c r="D161" i="8" a="1"/>
  <c r="D161" i="8" s="1"/>
  <c r="D162" i="8" a="1"/>
  <c r="D162" i="8" s="1"/>
  <c r="D163" i="8" a="1"/>
  <c r="D163" i="8" s="1"/>
  <c r="D164" i="8" a="1"/>
  <c r="D164" i="8" s="1"/>
  <c r="D165" i="8" a="1"/>
  <c r="D165" i="8" s="1"/>
  <c r="D166" i="8" a="1"/>
  <c r="D166" i="8" s="1"/>
  <c r="D167" i="8" a="1"/>
  <c r="D167" i="8" s="1"/>
  <c r="D168" i="8" a="1"/>
  <c r="D168" i="8" s="1"/>
  <c r="D169" i="8" a="1"/>
  <c r="D169" i="8" s="1"/>
  <c r="D170" i="8" a="1"/>
  <c r="D170" i="8" s="1"/>
  <c r="D171" i="8" a="1"/>
  <c r="D171" i="8" s="1"/>
  <c r="D172" i="8" a="1"/>
  <c r="D172" i="8" s="1"/>
  <c r="D173" i="8" a="1"/>
  <c r="D173" i="8" s="1"/>
  <c r="D174" i="8" a="1"/>
  <c r="D174" i="8" s="1"/>
  <c r="D175" i="8" a="1"/>
  <c r="D175" i="8" s="1"/>
  <c r="D176" i="8" a="1"/>
  <c r="D176" i="8" s="1"/>
  <c r="D177" i="8" a="1"/>
  <c r="D177" i="8" s="1"/>
  <c r="D178" i="8" a="1"/>
  <c r="D178" i="8" s="1"/>
  <c r="D179" i="8" a="1"/>
  <c r="D179" i="8" s="1"/>
  <c r="D180" i="8" a="1"/>
  <c r="D180" i="8" s="1"/>
  <c r="D181" i="8" a="1"/>
  <c r="D181" i="8" s="1"/>
  <c r="D182" i="8" a="1"/>
  <c r="D182" i="8" s="1"/>
  <c r="D183" i="8" a="1"/>
  <c r="D183" i="8" s="1"/>
  <c r="D184" i="8" a="1"/>
  <c r="D184" i="8" s="1"/>
  <c r="D185" i="8" a="1"/>
  <c r="D185" i="8" s="1"/>
  <c r="D186" i="8" a="1"/>
  <c r="D186" i="8" s="1"/>
  <c r="D187" i="8" a="1"/>
  <c r="D187" i="8" s="1"/>
  <c r="D188" i="8" a="1"/>
  <c r="D188" i="8" s="1"/>
  <c r="D189" i="8" a="1"/>
  <c r="D189" i="8" s="1"/>
  <c r="D190" i="8" a="1"/>
  <c r="D190" i="8" s="1"/>
  <c r="D191" i="8" a="1"/>
  <c r="D191" i="8" s="1"/>
  <c r="D192" i="8" a="1"/>
  <c r="D192" i="8" s="1"/>
  <c r="D193" i="8" a="1"/>
  <c r="D193" i="8" s="1"/>
  <c r="D194" i="8" a="1"/>
  <c r="D194" i="8" s="1"/>
  <c r="D195" i="8" a="1"/>
  <c r="D195" i="8" s="1"/>
  <c r="D196" i="8" a="1"/>
  <c r="D196" i="8" s="1"/>
  <c r="D2" i="8" a="1"/>
  <c r="D2" i="8" s="1"/>
  <c r="C3" i="8" a="1"/>
  <c r="C3" i="8" s="1"/>
  <c r="C4" i="8" a="1"/>
  <c r="C4" i="8" s="1"/>
  <c r="C5" i="8" a="1"/>
  <c r="C5" i="8" s="1"/>
  <c r="C6" i="8" a="1"/>
  <c r="C6" i="8" s="1"/>
  <c r="C7" i="8" a="1"/>
  <c r="C7" i="8" s="1"/>
  <c r="C8" i="8" a="1"/>
  <c r="C8" i="8" s="1"/>
  <c r="C9" i="8" a="1"/>
  <c r="C9" i="8" s="1"/>
  <c r="C10" i="8" a="1"/>
  <c r="C10" i="8" s="1"/>
  <c r="C11" i="8" a="1"/>
  <c r="C11" i="8" s="1"/>
  <c r="C12" i="8" a="1"/>
  <c r="C12" i="8" s="1"/>
  <c r="C13" i="8" a="1"/>
  <c r="C13" i="8" s="1"/>
  <c r="C14" i="8" a="1"/>
  <c r="C14" i="8" s="1"/>
  <c r="C15" i="8" a="1"/>
  <c r="C15" i="8" s="1"/>
  <c r="C16" i="8" a="1"/>
  <c r="C16" i="8" s="1"/>
  <c r="C17" i="8" a="1"/>
  <c r="C17" i="8" s="1"/>
  <c r="C18" i="8" a="1"/>
  <c r="C18" i="8" s="1"/>
  <c r="C19" i="8" a="1"/>
  <c r="C19" i="8" s="1"/>
  <c r="C20" i="8" a="1"/>
  <c r="C20" i="8" s="1"/>
  <c r="C21" i="8" a="1"/>
  <c r="C21" i="8" s="1"/>
  <c r="C22" i="8" a="1"/>
  <c r="C22" i="8" s="1"/>
  <c r="C23" i="8" a="1"/>
  <c r="C23" i="8" s="1"/>
  <c r="C24" i="8" a="1"/>
  <c r="C24" i="8" s="1"/>
  <c r="C25" i="8" a="1"/>
  <c r="C25" i="8" s="1"/>
  <c r="C26" i="8" a="1"/>
  <c r="C26" i="8" s="1"/>
  <c r="C27" i="8" a="1"/>
  <c r="C27" i="8" s="1"/>
  <c r="C28" i="8" a="1"/>
  <c r="C28" i="8" s="1"/>
  <c r="C29" i="8" a="1"/>
  <c r="C29" i="8" s="1"/>
  <c r="C30" i="8" a="1"/>
  <c r="C30" i="8" s="1"/>
  <c r="C31" i="8" a="1"/>
  <c r="C31" i="8" s="1"/>
  <c r="C32" i="8" a="1"/>
  <c r="C32" i="8" s="1"/>
  <c r="C33" i="8" a="1"/>
  <c r="C33" i="8" s="1"/>
  <c r="C34" i="8" a="1"/>
  <c r="C34" i="8" s="1"/>
  <c r="C35" i="8" a="1"/>
  <c r="C35" i="8" s="1"/>
  <c r="C36" i="8" a="1"/>
  <c r="C36" i="8" s="1"/>
  <c r="C37" i="8" a="1"/>
  <c r="C37" i="8" s="1"/>
  <c r="C38" i="8" a="1"/>
  <c r="C38" i="8" s="1"/>
  <c r="C39" i="8" a="1"/>
  <c r="C39" i="8" s="1"/>
  <c r="C40" i="8" a="1"/>
  <c r="C40" i="8" s="1"/>
  <c r="C41" i="8" a="1"/>
  <c r="C41" i="8" s="1"/>
  <c r="C42" i="8" a="1"/>
  <c r="C42" i="8"/>
  <c r="C43" i="8" a="1"/>
  <c r="C43" i="8" s="1"/>
  <c r="C44" i="8" a="1"/>
  <c r="C44" i="8" s="1"/>
  <c r="C45" i="8" a="1"/>
  <c r="C45" i="8" s="1"/>
  <c r="C46" i="8" a="1"/>
  <c r="C46" i="8" s="1"/>
  <c r="C47" i="8" a="1"/>
  <c r="C47" i="8" s="1"/>
  <c r="C48" i="8" a="1"/>
  <c r="C48" i="8" s="1"/>
  <c r="C49" i="8" a="1"/>
  <c r="C49" i="8" s="1"/>
  <c r="C50" i="8" a="1"/>
  <c r="C50" i="8" s="1"/>
  <c r="C51" i="8" a="1"/>
  <c r="C51" i="8" s="1"/>
  <c r="C52" i="8" a="1"/>
  <c r="C52" i="8" s="1"/>
  <c r="C53" i="8" a="1"/>
  <c r="C53" i="8" s="1"/>
  <c r="C54" i="8" a="1"/>
  <c r="C54" i="8" s="1"/>
  <c r="C55" i="8" a="1"/>
  <c r="C55" i="8" s="1"/>
  <c r="C56" i="8" a="1"/>
  <c r="C56" i="8" s="1"/>
  <c r="C57" i="8" a="1"/>
  <c r="C57" i="8" s="1"/>
  <c r="C58" i="8" a="1"/>
  <c r="C58" i="8" s="1"/>
  <c r="C59" i="8" a="1"/>
  <c r="C59" i="8" s="1"/>
  <c r="C60" i="8" a="1"/>
  <c r="C60" i="8" s="1"/>
  <c r="C61" i="8" a="1"/>
  <c r="C61" i="8" s="1"/>
  <c r="C62" i="8" a="1"/>
  <c r="C62" i="8" s="1"/>
  <c r="C63" i="8" a="1"/>
  <c r="C63" i="8" s="1"/>
  <c r="C64" i="8" a="1"/>
  <c r="C64" i="8" s="1"/>
  <c r="C65" i="8" a="1"/>
  <c r="C65" i="8" s="1"/>
  <c r="C66" i="8" a="1"/>
  <c r="C66" i="8" s="1"/>
  <c r="C67" i="8" a="1"/>
  <c r="C67" i="8" s="1"/>
  <c r="C68" i="8" a="1"/>
  <c r="C68" i="8" s="1"/>
  <c r="C69" i="8" a="1"/>
  <c r="C69" i="8" s="1"/>
  <c r="C70" i="8" a="1"/>
  <c r="C70" i="8" s="1"/>
  <c r="C71" i="8" a="1"/>
  <c r="C71" i="8" s="1"/>
  <c r="C72" i="8" a="1"/>
  <c r="C72" i="8" s="1"/>
  <c r="C73" i="8" a="1"/>
  <c r="C73" i="8" s="1"/>
  <c r="C74" i="8" a="1"/>
  <c r="C74" i="8" s="1"/>
  <c r="C75" i="8" a="1"/>
  <c r="C75" i="8" s="1"/>
  <c r="C76" i="8" a="1"/>
  <c r="C76" i="8" s="1"/>
  <c r="C77" i="8" a="1"/>
  <c r="C77" i="8" s="1"/>
  <c r="C78" i="8" a="1"/>
  <c r="C78" i="8" s="1"/>
  <c r="C79" i="8" a="1"/>
  <c r="C79" i="8"/>
  <c r="C80" i="8" a="1"/>
  <c r="C80" i="8" s="1"/>
  <c r="C81" i="8" a="1"/>
  <c r="C81" i="8" s="1"/>
  <c r="C82" i="8" a="1"/>
  <c r="C82" i="8" s="1"/>
  <c r="C83" i="8" a="1"/>
  <c r="C83" i="8" s="1"/>
  <c r="C84" i="8" a="1"/>
  <c r="C84" i="8" s="1"/>
  <c r="C85" i="8" a="1"/>
  <c r="C85" i="8" s="1"/>
  <c r="C86" i="8" a="1"/>
  <c r="C86" i="8" s="1"/>
  <c r="C87" i="8" a="1"/>
  <c r="C87" i="8" s="1"/>
  <c r="C88" i="8" a="1"/>
  <c r="C88" i="8" s="1"/>
  <c r="C89" i="8" a="1"/>
  <c r="C89" i="8" s="1"/>
  <c r="C90" i="8" a="1"/>
  <c r="C90" i="8" s="1"/>
  <c r="C91" i="8" a="1"/>
  <c r="C91" i="8" s="1"/>
  <c r="C92" i="8" a="1"/>
  <c r="C92" i="8" s="1"/>
  <c r="C93" i="8" a="1"/>
  <c r="C93" i="8" s="1"/>
  <c r="C94" i="8" a="1"/>
  <c r="C94" i="8" s="1"/>
  <c r="C95" i="8" a="1"/>
  <c r="C95" i="8" s="1"/>
  <c r="C96" i="8" a="1"/>
  <c r="C96" i="8" s="1"/>
  <c r="C97" i="8" a="1"/>
  <c r="C97" i="8" s="1"/>
  <c r="C98" i="8" a="1"/>
  <c r="C98" i="8" s="1"/>
  <c r="C99" i="8" a="1"/>
  <c r="C99" i="8" s="1"/>
  <c r="C100" i="8" a="1"/>
  <c r="C100" i="8" s="1"/>
  <c r="C101" i="8" a="1"/>
  <c r="C101" i="8" s="1"/>
  <c r="C102" i="8" a="1"/>
  <c r="C102" i="8" s="1"/>
  <c r="C103" i="8" a="1"/>
  <c r="C103" i="8" s="1"/>
  <c r="C104" i="8" a="1"/>
  <c r="C104" i="8" s="1"/>
  <c r="C105" i="8" a="1"/>
  <c r="C105" i="8" s="1"/>
  <c r="C106" i="8" a="1"/>
  <c r="C106" i="8" s="1"/>
  <c r="C107" i="8" a="1"/>
  <c r="C107" i="8" s="1"/>
  <c r="C108" i="8" a="1"/>
  <c r="C108" i="8" s="1"/>
  <c r="C109" i="8" a="1"/>
  <c r="C109" i="8" s="1"/>
  <c r="C110" i="8" a="1"/>
  <c r="C110" i="8" s="1"/>
  <c r="C111" i="8" a="1"/>
  <c r="C111" i="8" s="1"/>
  <c r="C112" i="8" a="1"/>
  <c r="C112" i="8" s="1"/>
  <c r="C113" i="8" a="1"/>
  <c r="C113" i="8" s="1"/>
  <c r="C114" i="8" a="1"/>
  <c r="C114" i="8" s="1"/>
  <c r="C115" i="8" a="1"/>
  <c r="C115" i="8" s="1"/>
  <c r="C116" i="8" a="1"/>
  <c r="C116" i="8" s="1"/>
  <c r="C117" i="8" a="1"/>
  <c r="C117" i="8" s="1"/>
  <c r="C118" i="8" a="1"/>
  <c r="C118" i="8" s="1"/>
  <c r="C119" i="8" a="1"/>
  <c r="C119" i="8" s="1"/>
  <c r="C120" i="8" a="1"/>
  <c r="C120" i="8" s="1"/>
  <c r="C121" i="8" a="1"/>
  <c r="C121" i="8" s="1"/>
  <c r="C122" i="8" a="1"/>
  <c r="C122" i="8" s="1"/>
  <c r="C123" i="8" a="1"/>
  <c r="C123" i="8" s="1"/>
  <c r="C124" i="8" a="1"/>
  <c r="C124" i="8" s="1"/>
  <c r="C125" i="8" a="1"/>
  <c r="C125" i="8" s="1"/>
  <c r="C126" i="8" a="1"/>
  <c r="C126" i="8" s="1"/>
  <c r="C127" i="8" a="1"/>
  <c r="C127" i="8" s="1"/>
  <c r="C128" i="8" a="1"/>
  <c r="C128" i="8" s="1"/>
  <c r="C129" i="8" a="1"/>
  <c r="C129" i="8" s="1"/>
  <c r="C130" i="8" a="1"/>
  <c r="C130" i="8" s="1"/>
  <c r="C131" i="8" a="1"/>
  <c r="C131" i="8" s="1"/>
  <c r="C132" i="8" a="1"/>
  <c r="C132" i="8" s="1"/>
  <c r="C133" i="8" a="1"/>
  <c r="C133" i="8" s="1"/>
  <c r="C134" i="8" a="1"/>
  <c r="C134" i="8" s="1"/>
  <c r="C135" i="8" a="1"/>
  <c r="C135" i="8" s="1"/>
  <c r="C136" i="8" a="1"/>
  <c r="C136" i="8" s="1"/>
  <c r="C137" i="8" a="1"/>
  <c r="C137" i="8" s="1"/>
  <c r="C138" i="8" a="1"/>
  <c r="C138" i="8" s="1"/>
  <c r="C139" i="8" a="1"/>
  <c r="C139" i="8" s="1"/>
  <c r="C140" i="8" a="1"/>
  <c r="C140" i="8" s="1"/>
  <c r="C141" i="8" a="1"/>
  <c r="C141" i="8" s="1"/>
  <c r="C142" i="8" a="1"/>
  <c r="C142" i="8" s="1"/>
  <c r="C143" i="8" a="1"/>
  <c r="C143" i="8" s="1"/>
  <c r="C144" i="8" a="1"/>
  <c r="C144" i="8" s="1"/>
  <c r="C145" i="8" a="1"/>
  <c r="C145" i="8" s="1"/>
  <c r="C146" i="8" a="1"/>
  <c r="C146" i="8" s="1"/>
  <c r="C147" i="8" a="1"/>
  <c r="C147" i="8" s="1"/>
  <c r="C148" i="8" a="1"/>
  <c r="C148" i="8" s="1"/>
  <c r="C149" i="8" a="1"/>
  <c r="C149" i="8" s="1"/>
  <c r="C150" i="8" a="1"/>
  <c r="C150" i="8" s="1"/>
  <c r="C151" i="8" a="1"/>
  <c r="C151" i="8" s="1"/>
  <c r="C152" i="8" a="1"/>
  <c r="C152" i="8" s="1"/>
  <c r="C153" i="8" a="1"/>
  <c r="C153" i="8"/>
  <c r="C154" i="8" a="1"/>
  <c r="C154" i="8" s="1"/>
  <c r="C155" i="8" a="1"/>
  <c r="C155" i="8" s="1"/>
  <c r="C156" i="8" a="1"/>
  <c r="C156" i="8" s="1"/>
  <c r="C157" i="8" a="1"/>
  <c r="C157" i="8" s="1"/>
  <c r="C158" i="8" a="1"/>
  <c r="C158" i="8" s="1"/>
  <c r="C159" i="8" a="1"/>
  <c r="C159" i="8" s="1"/>
  <c r="C160" i="8" a="1"/>
  <c r="C160" i="8" s="1"/>
  <c r="C161" i="8" a="1"/>
  <c r="C161" i="8" s="1"/>
  <c r="C162" i="8" a="1"/>
  <c r="C162" i="8" s="1"/>
  <c r="C163" i="8" a="1"/>
  <c r="C163" i="8" s="1"/>
  <c r="C164" i="8" a="1"/>
  <c r="C164" i="8" s="1"/>
  <c r="C165" i="8" a="1"/>
  <c r="C165" i="8" s="1"/>
  <c r="C166" i="8" a="1"/>
  <c r="C166" i="8" s="1"/>
  <c r="C167" i="8" a="1"/>
  <c r="C167" i="8" s="1"/>
  <c r="C168" i="8" a="1"/>
  <c r="C168" i="8" s="1"/>
  <c r="C169" i="8" a="1"/>
  <c r="C169" i="8" s="1"/>
  <c r="C170" i="8" a="1"/>
  <c r="C170" i="8" s="1"/>
  <c r="C171" i="8" a="1"/>
  <c r="C171" i="8" s="1"/>
  <c r="C172" i="8" a="1"/>
  <c r="C172" i="8" s="1"/>
  <c r="C173" i="8" a="1"/>
  <c r="C173" i="8" s="1"/>
  <c r="C174" i="8" a="1"/>
  <c r="C174" i="8" s="1"/>
  <c r="C175" i="8" a="1"/>
  <c r="C175" i="8" s="1"/>
  <c r="C176" i="8" a="1"/>
  <c r="C176" i="8" s="1"/>
  <c r="C177" i="8" a="1"/>
  <c r="C177" i="8" s="1"/>
  <c r="C178" i="8" a="1"/>
  <c r="C178" i="8" s="1"/>
  <c r="C179" i="8" a="1"/>
  <c r="C179" i="8" s="1"/>
  <c r="C180" i="8" a="1"/>
  <c r="C180" i="8" s="1"/>
  <c r="C181" i="8" a="1"/>
  <c r="C181" i="8" s="1"/>
  <c r="C182" i="8" a="1"/>
  <c r="C182" i="8" s="1"/>
  <c r="C183" i="8" a="1"/>
  <c r="C183" i="8" s="1"/>
  <c r="C184" i="8" a="1"/>
  <c r="C184" i="8" s="1"/>
  <c r="C185" i="8" a="1"/>
  <c r="C185" i="8" s="1"/>
  <c r="C186" i="8" a="1"/>
  <c r="C186" i="8" s="1"/>
  <c r="C187" i="8" a="1"/>
  <c r="C187" i="8" s="1"/>
  <c r="C188" i="8" a="1"/>
  <c r="C188" i="8" s="1"/>
  <c r="C189" i="8" a="1"/>
  <c r="C189" i="8" s="1"/>
  <c r="C190" i="8" a="1"/>
  <c r="C190" i="8" s="1"/>
  <c r="C191" i="8" a="1"/>
  <c r="C191" i="8" s="1"/>
  <c r="C192" i="8" a="1"/>
  <c r="C192" i="8" s="1"/>
  <c r="C193" i="8" a="1"/>
  <c r="C193" i="8" s="1"/>
  <c r="C194" i="8" a="1"/>
  <c r="C194" i="8" s="1"/>
  <c r="C195" i="8" a="1"/>
  <c r="C195" i="8" s="1"/>
  <c r="C196" i="8" a="1"/>
  <c r="C196" i="8" s="1"/>
  <c r="C2" i="8" a="1"/>
  <c r="C2" i="8" s="1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2" i="8"/>
  <c r="K172" i="8" l="1"/>
  <c r="K124" i="8"/>
  <c r="K76" i="8"/>
  <c r="K187" i="8"/>
  <c r="K123" i="8"/>
  <c r="K27" i="8"/>
  <c r="K185" i="8"/>
  <c r="K169" i="8"/>
  <c r="K153" i="8"/>
  <c r="K137" i="8"/>
  <c r="K121" i="8"/>
  <c r="K105" i="8"/>
  <c r="K89" i="8"/>
  <c r="K73" i="8"/>
  <c r="K57" i="8"/>
  <c r="K41" i="8"/>
  <c r="K25" i="8"/>
  <c r="K9" i="8"/>
  <c r="L188" i="8"/>
  <c r="L156" i="8"/>
  <c r="L140" i="8"/>
  <c r="L108" i="8"/>
  <c r="L92" i="8"/>
  <c r="L60" i="8"/>
  <c r="L44" i="8"/>
  <c r="L28" i="8"/>
  <c r="L12" i="8"/>
  <c r="K184" i="8"/>
  <c r="K168" i="8"/>
  <c r="K152" i="8"/>
  <c r="K136" i="8"/>
  <c r="K120" i="8"/>
  <c r="K104" i="8"/>
  <c r="K88" i="8"/>
  <c r="K72" i="8"/>
  <c r="K56" i="8"/>
  <c r="K40" i="8"/>
  <c r="K24" i="8"/>
  <c r="K8" i="8"/>
  <c r="L171" i="8"/>
  <c r="L155" i="8"/>
  <c r="L139" i="8"/>
  <c r="L107" i="8"/>
  <c r="L91" i="8"/>
  <c r="L75" i="8"/>
  <c r="L59" i="8"/>
  <c r="L43" i="8"/>
  <c r="L11" i="8"/>
  <c r="K183" i="8"/>
  <c r="K151" i="8"/>
  <c r="K135" i="8"/>
  <c r="K119" i="8"/>
  <c r="K103" i="8"/>
  <c r="K87" i="8"/>
  <c r="K71" i="8"/>
  <c r="K55" i="8"/>
  <c r="K39" i="8"/>
  <c r="K23" i="8"/>
  <c r="K7" i="8"/>
  <c r="L186" i="8"/>
  <c r="L170" i="8"/>
  <c r="L154" i="8"/>
  <c r="L138" i="8"/>
  <c r="L122" i="8"/>
  <c r="L106" i="8"/>
  <c r="L90" i="8"/>
  <c r="L74" i="8"/>
  <c r="L58" i="8"/>
  <c r="L42" i="8"/>
  <c r="L26" i="8"/>
  <c r="L10" i="8"/>
  <c r="K182" i="8"/>
  <c r="K166" i="8"/>
  <c r="K150" i="8"/>
  <c r="K134" i="8"/>
  <c r="K118" i="8"/>
  <c r="K102" i="8"/>
  <c r="K86" i="8"/>
  <c r="K70" i="8"/>
  <c r="K54" i="8"/>
  <c r="K38" i="8"/>
  <c r="K22" i="8"/>
  <c r="K6" i="8"/>
  <c r="K196" i="8"/>
  <c r="K180" i="8"/>
  <c r="K164" i="8"/>
  <c r="K148" i="8"/>
  <c r="K132" i="8"/>
  <c r="K116" i="8"/>
  <c r="K100" i="8"/>
  <c r="K84" i="8"/>
  <c r="K68" i="8"/>
  <c r="K52" i="8"/>
  <c r="K36" i="8"/>
  <c r="K20" i="8"/>
  <c r="K4" i="8"/>
  <c r="L167" i="8"/>
  <c r="K195" i="8"/>
  <c r="K179" i="8"/>
  <c r="K163" i="8"/>
  <c r="K147" i="8"/>
  <c r="K131" i="8"/>
  <c r="K115" i="8"/>
  <c r="K99" i="8"/>
  <c r="K83" i="8"/>
  <c r="K67" i="8"/>
  <c r="K51" i="8"/>
  <c r="K35" i="8"/>
  <c r="K19" i="8"/>
  <c r="K3" i="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<sst xmlns="http://schemas.openxmlformats.org/spreadsheetml/2006/main" count="828" uniqueCount="764">
  <si>
    <t>index</t>
  </si>
  <si>
    <t>country</t>
  </si>
  <si>
    <t>Abbreviation</t>
  </si>
  <si>
    <t>Area</t>
  </si>
  <si>
    <t>Calling code</t>
  </si>
  <si>
    <t>Capital/Major City</t>
  </si>
  <si>
    <t>GDP</t>
  </si>
  <si>
    <t>Population</t>
  </si>
  <si>
    <t>Unemployment rate</t>
  </si>
  <si>
    <t>Afghanistan</t>
  </si>
  <si>
    <t>AF</t>
  </si>
  <si>
    <t>Kabul</t>
  </si>
  <si>
    <t>Albania</t>
  </si>
  <si>
    <t>AL</t>
  </si>
  <si>
    <t>Tirana</t>
  </si>
  <si>
    <t>Algeria</t>
  </si>
  <si>
    <t>DZ</t>
  </si>
  <si>
    <t>Algiers</t>
  </si>
  <si>
    <t>Andorra</t>
  </si>
  <si>
    <t>AD</t>
  </si>
  <si>
    <t>Andorra la Vella</t>
  </si>
  <si>
    <t>Angola</t>
  </si>
  <si>
    <t>AO</t>
  </si>
  <si>
    <t>Luanda</t>
  </si>
  <si>
    <t>Antigua and Barbuda</t>
  </si>
  <si>
    <t>AG</t>
  </si>
  <si>
    <t>St. John's, Antigua and Barbuda</t>
  </si>
  <si>
    <t>Argentina</t>
  </si>
  <si>
    <t>AR</t>
  </si>
  <si>
    <t>Buenos Aires</t>
  </si>
  <si>
    <t>Armenia</t>
  </si>
  <si>
    <t>AM</t>
  </si>
  <si>
    <t>Yerevan</t>
  </si>
  <si>
    <t>Australia</t>
  </si>
  <si>
    <t>AU</t>
  </si>
  <si>
    <t>Canberra</t>
  </si>
  <si>
    <t>Austria</t>
  </si>
  <si>
    <t>AT</t>
  </si>
  <si>
    <t>Vienna</t>
  </si>
  <si>
    <t>Azerbaijan</t>
  </si>
  <si>
    <t>AZ</t>
  </si>
  <si>
    <t>Baku</t>
  </si>
  <si>
    <t>The Bahamas</t>
  </si>
  <si>
    <t>BS</t>
  </si>
  <si>
    <t>Nassau, The Bahamas</t>
  </si>
  <si>
    <t>Bahrain</t>
  </si>
  <si>
    <t>BH</t>
  </si>
  <si>
    <t>Manama</t>
  </si>
  <si>
    <t>Bangladesh</t>
  </si>
  <si>
    <t>BD</t>
  </si>
  <si>
    <t>Dhaka</t>
  </si>
  <si>
    <t>Barbados</t>
  </si>
  <si>
    <t>BB</t>
  </si>
  <si>
    <t>Bridgetown</t>
  </si>
  <si>
    <t>Belarus</t>
  </si>
  <si>
    <t>BY</t>
  </si>
  <si>
    <t>Minsk</t>
  </si>
  <si>
    <t>Belgium</t>
  </si>
  <si>
    <t>BE</t>
  </si>
  <si>
    <t>City of Brussels</t>
  </si>
  <si>
    <t>Belize</t>
  </si>
  <si>
    <t>BZ</t>
  </si>
  <si>
    <t>Belmopan</t>
  </si>
  <si>
    <t>Benin</t>
  </si>
  <si>
    <t>BJ</t>
  </si>
  <si>
    <t>Porto-Novo</t>
  </si>
  <si>
    <t>Bhutan</t>
  </si>
  <si>
    <t>BT</t>
  </si>
  <si>
    <t>Thimphu</t>
  </si>
  <si>
    <t>Bolivia</t>
  </si>
  <si>
    <t>BO</t>
  </si>
  <si>
    <t>Sucre</t>
  </si>
  <si>
    <t>Bosnia and Herzegovina</t>
  </si>
  <si>
    <t>BA</t>
  </si>
  <si>
    <t>Sarajevo</t>
  </si>
  <si>
    <t>Botswana</t>
  </si>
  <si>
    <t>BW</t>
  </si>
  <si>
    <t>Gaborone</t>
  </si>
  <si>
    <t>Brazil</t>
  </si>
  <si>
    <t>BR</t>
  </si>
  <si>
    <t>Brasília</t>
  </si>
  <si>
    <t>Brunei</t>
  </si>
  <si>
    <t>BN</t>
  </si>
  <si>
    <t>Bandar Seri Begawan</t>
  </si>
  <si>
    <t>Bulgaria</t>
  </si>
  <si>
    <t>BG</t>
  </si>
  <si>
    <t>Sofia</t>
  </si>
  <si>
    <t>Burkina Faso</t>
  </si>
  <si>
    <t>BF</t>
  </si>
  <si>
    <t>Ouagadougou</t>
  </si>
  <si>
    <t>Burundi</t>
  </si>
  <si>
    <t>BI</t>
  </si>
  <si>
    <t>Gitega</t>
  </si>
  <si>
    <t>Cape Verde</t>
  </si>
  <si>
    <t>CV</t>
  </si>
  <si>
    <t>Praia</t>
  </si>
  <si>
    <t>Cambodia</t>
  </si>
  <si>
    <t>KH</t>
  </si>
  <si>
    <t>Phnom Penh</t>
  </si>
  <si>
    <t>Cameroon</t>
  </si>
  <si>
    <t>CM</t>
  </si>
  <si>
    <t>Yaoundé</t>
  </si>
  <si>
    <t>Canada</t>
  </si>
  <si>
    <t>CA</t>
  </si>
  <si>
    <t>Ottawa</t>
  </si>
  <si>
    <t>Central African Republic</t>
  </si>
  <si>
    <t>CF</t>
  </si>
  <si>
    <t>Bangui</t>
  </si>
  <si>
    <t>Chad</t>
  </si>
  <si>
    <t>TD</t>
  </si>
  <si>
    <t>N'Djamena</t>
  </si>
  <si>
    <t>Chile</t>
  </si>
  <si>
    <t>CL</t>
  </si>
  <si>
    <t>Santiago</t>
  </si>
  <si>
    <t>China</t>
  </si>
  <si>
    <t>CN</t>
  </si>
  <si>
    <t>Beijing</t>
  </si>
  <si>
    <t>Colombia</t>
  </si>
  <si>
    <t>CO</t>
  </si>
  <si>
    <t>Bogotá</t>
  </si>
  <si>
    <t>Comoros</t>
  </si>
  <si>
    <t>KM</t>
  </si>
  <si>
    <t>Moroni, Comoros</t>
  </si>
  <si>
    <t>Republic of the Congo</t>
  </si>
  <si>
    <t>Brazzaville</t>
  </si>
  <si>
    <t>Costa Rica</t>
  </si>
  <si>
    <t>CR</t>
  </si>
  <si>
    <t>San José, Costa Rica</t>
  </si>
  <si>
    <t>Croatia</t>
  </si>
  <si>
    <t>HR</t>
  </si>
  <si>
    <t>Zagreb</t>
  </si>
  <si>
    <t>Cuba</t>
  </si>
  <si>
    <t>CU</t>
  </si>
  <si>
    <t>Havana</t>
  </si>
  <si>
    <t>Cyprus</t>
  </si>
  <si>
    <t>CY</t>
  </si>
  <si>
    <t>Nicosia</t>
  </si>
  <si>
    <t>Czech Republic</t>
  </si>
  <si>
    <t>CZ</t>
  </si>
  <si>
    <t>Prague</t>
  </si>
  <si>
    <t>Democratic Republic of the Congo</t>
  </si>
  <si>
    <t>CD</t>
  </si>
  <si>
    <t>Kinshasa</t>
  </si>
  <si>
    <t>Denmark</t>
  </si>
  <si>
    <t>DK</t>
  </si>
  <si>
    <t>Copenhagen</t>
  </si>
  <si>
    <t>Djibouti</t>
  </si>
  <si>
    <t>DJ</t>
  </si>
  <si>
    <t>Djibouti City</t>
  </si>
  <si>
    <t>Dominica</t>
  </si>
  <si>
    <t>DM</t>
  </si>
  <si>
    <t>Roseau</t>
  </si>
  <si>
    <t>Dominican Republic</t>
  </si>
  <si>
    <t>DO</t>
  </si>
  <si>
    <t>Santo Domingo</t>
  </si>
  <si>
    <t>Ecuador</t>
  </si>
  <si>
    <t>EC</t>
  </si>
  <si>
    <t>Quito</t>
  </si>
  <si>
    <t>Egypt</t>
  </si>
  <si>
    <t>EG</t>
  </si>
  <si>
    <t>Cairo</t>
  </si>
  <si>
    <t>El Salvador</t>
  </si>
  <si>
    <t>SV</t>
  </si>
  <si>
    <t>San Salvador</t>
  </si>
  <si>
    <t>Equatorial Guinea</t>
  </si>
  <si>
    <t>GQ</t>
  </si>
  <si>
    <t>Ciudad de la Paz</t>
  </si>
  <si>
    <t>Eritrea</t>
  </si>
  <si>
    <t>ER</t>
  </si>
  <si>
    <t>Asmara</t>
  </si>
  <si>
    <t>Estonia</t>
  </si>
  <si>
    <t>EE</t>
  </si>
  <si>
    <t>Tallinn</t>
  </si>
  <si>
    <t>Eswatini</t>
  </si>
  <si>
    <t>Lobamba</t>
  </si>
  <si>
    <t>Ethiopia</t>
  </si>
  <si>
    <t>ET</t>
  </si>
  <si>
    <t>Addis Ababa</t>
  </si>
  <si>
    <t>Fiji</t>
  </si>
  <si>
    <t>FJ</t>
  </si>
  <si>
    <t>Suva</t>
  </si>
  <si>
    <t>Finland</t>
  </si>
  <si>
    <t>FI</t>
  </si>
  <si>
    <t>Helsinki</t>
  </si>
  <si>
    <t>France</t>
  </si>
  <si>
    <t>FR</t>
  </si>
  <si>
    <t>Paris</t>
  </si>
  <si>
    <t>Gabon</t>
  </si>
  <si>
    <t>GA</t>
  </si>
  <si>
    <t>Libreville</t>
  </si>
  <si>
    <t>The Gambia</t>
  </si>
  <si>
    <t>GM</t>
  </si>
  <si>
    <t>Banjul</t>
  </si>
  <si>
    <t>Georgia</t>
  </si>
  <si>
    <t>GE</t>
  </si>
  <si>
    <t>Tbilisi</t>
  </si>
  <si>
    <t>Germany</t>
  </si>
  <si>
    <t>DE</t>
  </si>
  <si>
    <t>Berlin</t>
  </si>
  <si>
    <t>Ghana</t>
  </si>
  <si>
    <t>GH</t>
  </si>
  <si>
    <t>Accra</t>
  </si>
  <si>
    <t>Greece</t>
  </si>
  <si>
    <t>GR</t>
  </si>
  <si>
    <t>Athens</t>
  </si>
  <si>
    <t>Grenada</t>
  </si>
  <si>
    <t>GD</t>
  </si>
  <si>
    <t>St. George's, Grenada</t>
  </si>
  <si>
    <t>Guatemala</t>
  </si>
  <si>
    <t>GT</t>
  </si>
  <si>
    <t>Guatemala City</t>
  </si>
  <si>
    <t>Guinea</t>
  </si>
  <si>
    <t>GN</t>
  </si>
  <si>
    <t>Conakry</t>
  </si>
  <si>
    <t>Guinea-Bissau</t>
  </si>
  <si>
    <t>GW</t>
  </si>
  <si>
    <t>Bissau</t>
  </si>
  <si>
    <t>Guyana</t>
  </si>
  <si>
    <t>GY</t>
  </si>
  <si>
    <t>Georgetown, Guyana</t>
  </si>
  <si>
    <t>Haiti</t>
  </si>
  <si>
    <t>HT</t>
  </si>
  <si>
    <t>Port-au-Prince</t>
  </si>
  <si>
    <t>Honduras</t>
  </si>
  <si>
    <t>HN</t>
  </si>
  <si>
    <t>Tegucigalpa</t>
  </si>
  <si>
    <t>Hungary</t>
  </si>
  <si>
    <t>HU</t>
  </si>
  <si>
    <t>Budapest</t>
  </si>
  <si>
    <t>Iceland</t>
  </si>
  <si>
    <t>IS</t>
  </si>
  <si>
    <t>Reykjavík</t>
  </si>
  <si>
    <t>India</t>
  </si>
  <si>
    <t>IN</t>
  </si>
  <si>
    <t>New Delhi</t>
  </si>
  <si>
    <t>Indonesia</t>
  </si>
  <si>
    <t>ID</t>
  </si>
  <si>
    <t>Jakarta</t>
  </si>
  <si>
    <t>Iran</t>
  </si>
  <si>
    <t>IR</t>
  </si>
  <si>
    <t>Tehran</t>
  </si>
  <si>
    <t>Iraq</t>
  </si>
  <si>
    <t>IQ</t>
  </si>
  <si>
    <t>Baghdad</t>
  </si>
  <si>
    <t>Republic of Ireland</t>
  </si>
  <si>
    <t>Dublin</t>
  </si>
  <si>
    <t>Israel</t>
  </si>
  <si>
    <t>IL</t>
  </si>
  <si>
    <t>Jerusalem</t>
  </si>
  <si>
    <t>Italy</t>
  </si>
  <si>
    <t>IT</t>
  </si>
  <si>
    <t>Rome</t>
  </si>
  <si>
    <t>Ivory Coast</t>
  </si>
  <si>
    <t>CI</t>
  </si>
  <si>
    <t>Yamoussoukro</t>
  </si>
  <si>
    <t>Jamaica</t>
  </si>
  <si>
    <t>JM</t>
  </si>
  <si>
    <t>Kingston, Jamaica</t>
  </si>
  <si>
    <t>Japan</t>
  </si>
  <si>
    <t>JP</t>
  </si>
  <si>
    <t>Tokyo</t>
  </si>
  <si>
    <t>Jordan</t>
  </si>
  <si>
    <t>JO</t>
  </si>
  <si>
    <t>Amman</t>
  </si>
  <si>
    <t>Kazakhstan</t>
  </si>
  <si>
    <t>KZ</t>
  </si>
  <si>
    <t>Astana</t>
  </si>
  <si>
    <t>Kenya</t>
  </si>
  <si>
    <t>KE</t>
  </si>
  <si>
    <t>Nairobi</t>
  </si>
  <si>
    <t>Kiribati</t>
  </si>
  <si>
    <t>KI</t>
  </si>
  <si>
    <t>Kuwait</t>
  </si>
  <si>
    <t>KW</t>
  </si>
  <si>
    <t>Kuwait City</t>
  </si>
  <si>
    <t>Kyrgyzstan</t>
  </si>
  <si>
    <t>KG</t>
  </si>
  <si>
    <t>Bishkek</t>
  </si>
  <si>
    <t>Laos</t>
  </si>
  <si>
    <t>LA</t>
  </si>
  <si>
    <t>Vientiane</t>
  </si>
  <si>
    <t>Latvia</t>
  </si>
  <si>
    <t>LV</t>
  </si>
  <si>
    <t>Riga</t>
  </si>
  <si>
    <t>Lebanon</t>
  </si>
  <si>
    <t>LB</t>
  </si>
  <si>
    <t>Beirut</t>
  </si>
  <si>
    <t>Lesotho</t>
  </si>
  <si>
    <t>LS</t>
  </si>
  <si>
    <t>Maseru</t>
  </si>
  <si>
    <t>Liberia</t>
  </si>
  <si>
    <t>LR</t>
  </si>
  <si>
    <t>Monrovia</t>
  </si>
  <si>
    <t>Libya</t>
  </si>
  <si>
    <t>LY</t>
  </si>
  <si>
    <t>Tripoli, Libya</t>
  </si>
  <si>
    <t>Liechtenstein</t>
  </si>
  <si>
    <t>LI</t>
  </si>
  <si>
    <t>Vaduz</t>
  </si>
  <si>
    <t>Lithuania</t>
  </si>
  <si>
    <t>LT</t>
  </si>
  <si>
    <t>Vilnius</t>
  </si>
  <si>
    <t>Luxembourg</t>
  </si>
  <si>
    <t>LU</t>
  </si>
  <si>
    <t>Luxembourg City</t>
  </si>
  <si>
    <t>Madagascar</t>
  </si>
  <si>
    <t>MG</t>
  </si>
  <si>
    <t>Antananarivo</t>
  </si>
  <si>
    <t>Malawi</t>
  </si>
  <si>
    <t>MW</t>
  </si>
  <si>
    <t>Lilongwe</t>
  </si>
  <si>
    <t>Malaysia</t>
  </si>
  <si>
    <t>MY</t>
  </si>
  <si>
    <t>Kuala Lumpur</t>
  </si>
  <si>
    <t>Maldives</t>
  </si>
  <si>
    <t>MV</t>
  </si>
  <si>
    <t>Malé</t>
  </si>
  <si>
    <t>Mali</t>
  </si>
  <si>
    <t>ML</t>
  </si>
  <si>
    <t>Bamako</t>
  </si>
  <si>
    <t>Malta</t>
  </si>
  <si>
    <t>MT</t>
  </si>
  <si>
    <t>Valletta</t>
  </si>
  <si>
    <t>Marshall Islands</t>
  </si>
  <si>
    <t>MH</t>
  </si>
  <si>
    <t>Majuro</t>
  </si>
  <si>
    <t>Mauritania</t>
  </si>
  <si>
    <t>MR</t>
  </si>
  <si>
    <t>Nouakchott</t>
  </si>
  <si>
    <t>Mauritius</t>
  </si>
  <si>
    <t>MU</t>
  </si>
  <si>
    <t>Port Louis</t>
  </si>
  <si>
    <t>Mexico</t>
  </si>
  <si>
    <t>MX</t>
  </si>
  <si>
    <t>Mexico City</t>
  </si>
  <si>
    <t>Federated States of Micronesia</t>
  </si>
  <si>
    <t>FM</t>
  </si>
  <si>
    <t>Palikir</t>
  </si>
  <si>
    <t>Moldova</t>
  </si>
  <si>
    <t>MD</t>
  </si>
  <si>
    <t>Chișinău</t>
  </si>
  <si>
    <t>Monaco</t>
  </si>
  <si>
    <t>MC</t>
  </si>
  <si>
    <t>Monaco City</t>
  </si>
  <si>
    <t>Mongolia</t>
  </si>
  <si>
    <t>MN</t>
  </si>
  <si>
    <t>Ulaanbaatar</t>
  </si>
  <si>
    <t>Montenegro</t>
  </si>
  <si>
    <t>ME</t>
  </si>
  <si>
    <t>Podgorica</t>
  </si>
  <si>
    <t>Morocco</t>
  </si>
  <si>
    <t>MA</t>
  </si>
  <si>
    <t>Rabat</t>
  </si>
  <si>
    <t>Mozambique</t>
  </si>
  <si>
    <t>MZ</t>
  </si>
  <si>
    <t>Maputo</t>
  </si>
  <si>
    <t>Myanmar</t>
  </si>
  <si>
    <t>MM</t>
  </si>
  <si>
    <t>Naypyidaw</t>
  </si>
  <si>
    <t>Namibia</t>
  </si>
  <si>
    <t>NA</t>
  </si>
  <si>
    <t>Windhoek</t>
  </si>
  <si>
    <t>Nauru</t>
  </si>
  <si>
    <t>NR</t>
  </si>
  <si>
    <t>Yaren District</t>
  </si>
  <si>
    <t>Nepal</t>
  </si>
  <si>
    <t>NP</t>
  </si>
  <si>
    <t>Kathmandu</t>
  </si>
  <si>
    <t>Netherlands</t>
  </si>
  <si>
    <t>NL</t>
  </si>
  <si>
    <t>Amsterdam</t>
  </si>
  <si>
    <t>New Zealand</t>
  </si>
  <si>
    <t>NZ</t>
  </si>
  <si>
    <t>Wellington</t>
  </si>
  <si>
    <t>Nicaragua</t>
  </si>
  <si>
    <t>NI</t>
  </si>
  <si>
    <t>Managua</t>
  </si>
  <si>
    <t>Niger</t>
  </si>
  <si>
    <t>NE</t>
  </si>
  <si>
    <t>Niamey</t>
  </si>
  <si>
    <t>Nigeria</t>
  </si>
  <si>
    <t>NG</t>
  </si>
  <si>
    <t>Abuja</t>
  </si>
  <si>
    <t>North Korea</t>
  </si>
  <si>
    <t>KP</t>
  </si>
  <si>
    <t>Pyongyang</t>
  </si>
  <si>
    <t>North Macedonia</t>
  </si>
  <si>
    <t>Skopje</t>
  </si>
  <si>
    <t>Norway</t>
  </si>
  <si>
    <t>NO</t>
  </si>
  <si>
    <t>Oslo</t>
  </si>
  <si>
    <t>Oman</t>
  </si>
  <si>
    <t>OM</t>
  </si>
  <si>
    <t>Muscat</t>
  </si>
  <si>
    <t>Pakistan</t>
  </si>
  <si>
    <t>PK</t>
  </si>
  <si>
    <t>Islamabad</t>
  </si>
  <si>
    <t>Palau</t>
  </si>
  <si>
    <t>PW</t>
  </si>
  <si>
    <t>Ngerulmud</t>
  </si>
  <si>
    <t>Palestine State</t>
  </si>
  <si>
    <t>Panama</t>
  </si>
  <si>
    <t>PA</t>
  </si>
  <si>
    <t>Panama City</t>
  </si>
  <si>
    <t>Papua New Guinea</t>
  </si>
  <si>
    <t>PG</t>
  </si>
  <si>
    <t>Port Moresby</t>
  </si>
  <si>
    <t>Paraguay</t>
  </si>
  <si>
    <t>PY</t>
  </si>
  <si>
    <t>Asunción</t>
  </si>
  <si>
    <t>Peru</t>
  </si>
  <si>
    <t>PE</t>
  </si>
  <si>
    <t>Lima</t>
  </si>
  <si>
    <t>Philippines</t>
  </si>
  <si>
    <t>PH</t>
  </si>
  <si>
    <t>Manila</t>
  </si>
  <si>
    <t>Poland</t>
  </si>
  <si>
    <t>PL</t>
  </si>
  <si>
    <t>Warsaw</t>
  </si>
  <si>
    <t>Portugal</t>
  </si>
  <si>
    <t>PT</t>
  </si>
  <si>
    <t>Lisbon</t>
  </si>
  <si>
    <t>Qatar</t>
  </si>
  <si>
    <t>QA</t>
  </si>
  <si>
    <t>Doha</t>
  </si>
  <si>
    <t>Romania</t>
  </si>
  <si>
    <t>RO</t>
  </si>
  <si>
    <t>Bucharest</t>
  </si>
  <si>
    <t>Russia</t>
  </si>
  <si>
    <t>RU</t>
  </si>
  <si>
    <t>Moscow</t>
  </si>
  <si>
    <t>Rwanda</t>
  </si>
  <si>
    <t>RW</t>
  </si>
  <si>
    <t>Kigali</t>
  </si>
  <si>
    <t>Saint Kitts and Nevis</t>
  </si>
  <si>
    <t>KN</t>
  </si>
  <si>
    <t>Basseterre</t>
  </si>
  <si>
    <t>Saint Lucia</t>
  </si>
  <si>
    <t>LC</t>
  </si>
  <si>
    <t>Castries</t>
  </si>
  <si>
    <t>Saint Vincent and the Grenadines</t>
  </si>
  <si>
    <t>VC</t>
  </si>
  <si>
    <t>Kingstown</t>
  </si>
  <si>
    <t>Samoa</t>
  </si>
  <si>
    <t>WS</t>
  </si>
  <si>
    <t>Apia</t>
  </si>
  <si>
    <t>San Marino</t>
  </si>
  <si>
    <t>SM</t>
  </si>
  <si>
    <t>City of San Marino</t>
  </si>
  <si>
    <t>São Tomé and Príncipe</t>
  </si>
  <si>
    <t>ST</t>
  </si>
  <si>
    <t>São Tomé</t>
  </si>
  <si>
    <t>Saudi Arabia</t>
  </si>
  <si>
    <t>SA</t>
  </si>
  <si>
    <t>Riyadh</t>
  </si>
  <si>
    <t>Senegal</t>
  </si>
  <si>
    <t>SN</t>
  </si>
  <si>
    <t>Dakar</t>
  </si>
  <si>
    <t>Serbia</t>
  </si>
  <si>
    <t>RS</t>
  </si>
  <si>
    <t>Belgrade</t>
  </si>
  <si>
    <t>Seychelles</t>
  </si>
  <si>
    <t>SC</t>
  </si>
  <si>
    <t>Victoria, Seychelles</t>
  </si>
  <si>
    <t>Sierra Leone</t>
  </si>
  <si>
    <t>SL</t>
  </si>
  <si>
    <t>Freetown</t>
  </si>
  <si>
    <t>Singapore</t>
  </si>
  <si>
    <t>SG</t>
  </si>
  <si>
    <t>Slovakia</t>
  </si>
  <si>
    <t>SK</t>
  </si>
  <si>
    <t>Bratislava</t>
  </si>
  <si>
    <t>Slovenia</t>
  </si>
  <si>
    <t>SI</t>
  </si>
  <si>
    <t>Ljubljana</t>
  </si>
  <si>
    <t>Solomon Islands</t>
  </si>
  <si>
    <t>SB</t>
  </si>
  <si>
    <t>Honiara</t>
  </si>
  <si>
    <t>Somalia</t>
  </si>
  <si>
    <t>SO</t>
  </si>
  <si>
    <t>Mogadishu</t>
  </si>
  <si>
    <t>South Africa</t>
  </si>
  <si>
    <t>ZA</t>
  </si>
  <si>
    <t>Pretoria</t>
  </si>
  <si>
    <t>South Korea</t>
  </si>
  <si>
    <t>KR</t>
  </si>
  <si>
    <t>Seoul</t>
  </si>
  <si>
    <t>South Sudan</t>
  </si>
  <si>
    <t>SS</t>
  </si>
  <si>
    <t>Juba</t>
  </si>
  <si>
    <t>Spain</t>
  </si>
  <si>
    <t>ES</t>
  </si>
  <si>
    <t>Madrid</t>
  </si>
  <si>
    <t>Sri Lanka</t>
  </si>
  <si>
    <t>LK</t>
  </si>
  <si>
    <t>Colombo</t>
  </si>
  <si>
    <t>Sudan</t>
  </si>
  <si>
    <t>SD</t>
  </si>
  <si>
    <t>Khartoum</t>
  </si>
  <si>
    <t>Suriname</t>
  </si>
  <si>
    <t>SR</t>
  </si>
  <si>
    <t>Paramaribo</t>
  </si>
  <si>
    <t>Sweden</t>
  </si>
  <si>
    <t>SE</t>
  </si>
  <si>
    <t>Stockholm</t>
  </si>
  <si>
    <t>Switzerland</t>
  </si>
  <si>
    <t>CH</t>
  </si>
  <si>
    <t>Bern</t>
  </si>
  <si>
    <t>Syria</t>
  </si>
  <si>
    <t>SY</t>
  </si>
  <si>
    <t>Damascus</t>
  </si>
  <si>
    <t>Tajikistan</t>
  </si>
  <si>
    <t>TJ</t>
  </si>
  <si>
    <t>Dushanbe</t>
  </si>
  <si>
    <t>Tanzania</t>
  </si>
  <si>
    <t>TZ</t>
  </si>
  <si>
    <t>Dodoma</t>
  </si>
  <si>
    <t>Thailand</t>
  </si>
  <si>
    <t>TH</t>
  </si>
  <si>
    <t>Bangkok</t>
  </si>
  <si>
    <t>Timor-Leste</t>
  </si>
  <si>
    <t>TL</t>
  </si>
  <si>
    <t>Dili</t>
  </si>
  <si>
    <t>Togo</t>
  </si>
  <si>
    <t>TG</t>
  </si>
  <si>
    <t>Lomé</t>
  </si>
  <si>
    <t>Tonga</t>
  </si>
  <si>
    <t>TO</t>
  </si>
  <si>
    <t>Nukuʻalofa</t>
  </si>
  <si>
    <t>Trinidad and Tobago</t>
  </si>
  <si>
    <t>TT</t>
  </si>
  <si>
    <t>Port of Spain</t>
  </si>
  <si>
    <t>Tunisia</t>
  </si>
  <si>
    <t>TN</t>
  </si>
  <si>
    <t>Tunis</t>
  </si>
  <si>
    <t>Turkey</t>
  </si>
  <si>
    <t>TR</t>
  </si>
  <si>
    <t>Ankara</t>
  </si>
  <si>
    <t>Turkmenistan</t>
  </si>
  <si>
    <t>TM</t>
  </si>
  <si>
    <t>Ashgabat</t>
  </si>
  <si>
    <t>Tuvalu</t>
  </si>
  <si>
    <t>TV</t>
  </si>
  <si>
    <t>Funafuti</t>
  </si>
  <si>
    <t>Uganda</t>
  </si>
  <si>
    <t>UG</t>
  </si>
  <si>
    <t>Kampala</t>
  </si>
  <si>
    <t>Ukraine</t>
  </si>
  <si>
    <t>UA</t>
  </si>
  <si>
    <t>Kyiv</t>
  </si>
  <si>
    <t>United Arab Emirates</t>
  </si>
  <si>
    <t>AE</t>
  </si>
  <si>
    <t>Abu Dhabi</t>
  </si>
  <si>
    <t>United Kingdom</t>
  </si>
  <si>
    <t>GB</t>
  </si>
  <si>
    <t>London</t>
  </si>
  <si>
    <t>United States</t>
  </si>
  <si>
    <t>US</t>
  </si>
  <si>
    <t>Washington, D.C.</t>
  </si>
  <si>
    <t>Uruguay</t>
  </si>
  <si>
    <t>UY</t>
  </si>
  <si>
    <t>Montevideo</t>
  </si>
  <si>
    <t>Uzbekistan</t>
  </si>
  <si>
    <t>UZ</t>
  </si>
  <si>
    <t>Tashkent</t>
  </si>
  <si>
    <t>Vanuatu</t>
  </si>
  <si>
    <t>VU</t>
  </si>
  <si>
    <t>Port Vila</t>
  </si>
  <si>
    <t>Vatican City</t>
  </si>
  <si>
    <t>Venezuela</t>
  </si>
  <si>
    <t>VE</t>
  </si>
  <si>
    <t>Caracas</t>
  </si>
  <si>
    <t>Vietnam</t>
  </si>
  <si>
    <t>VN</t>
  </si>
  <si>
    <t>Hanoi</t>
  </si>
  <si>
    <t>Yemen</t>
  </si>
  <si>
    <t>YE</t>
  </si>
  <si>
    <t>Sanaa</t>
  </si>
  <si>
    <t>Zambia</t>
  </si>
  <si>
    <t>ZM</t>
  </si>
  <si>
    <t>Lusaka</t>
  </si>
  <si>
    <t>Zimbabwe</t>
  </si>
  <si>
    <t>ZW</t>
  </si>
  <si>
    <t>Harare</t>
  </si>
  <si>
    <t>Record_ID</t>
  </si>
  <si>
    <t>Country</t>
  </si>
  <si>
    <t>Field</t>
  </si>
  <si>
    <t>Corrected_Value</t>
  </si>
  <si>
    <t>Source_URL</t>
  </si>
  <si>
    <t>Reason</t>
  </si>
  <si>
    <t>ISO2_Code</t>
  </si>
  <si>
    <t>Area_km2</t>
  </si>
  <si>
    <t>Calling_Code</t>
  </si>
  <si>
    <t>Capital</t>
  </si>
  <si>
    <t>GDP_USD</t>
  </si>
  <si>
    <t>Unemployment_Rate</t>
  </si>
  <si>
    <t>GDP_Rank</t>
  </si>
  <si>
    <t>GDP_per_Capita</t>
  </si>
  <si>
    <t>Population_Density</t>
  </si>
  <si>
    <t>Data_Quality_Status</t>
  </si>
  <si>
    <t>CG</t>
  </si>
  <si>
    <t>SZ</t>
  </si>
  <si>
    <t>Incorrect duplicate ISO2 code</t>
  </si>
  <si>
    <t>IE</t>
  </si>
  <si>
    <t>South Tarawa</t>
  </si>
  <si>
    <t>Invalid source value</t>
  </si>
  <si>
    <t>MK</t>
  </si>
  <si>
    <t>https://unstats.un.org/unsd/methodology/m49/overview/</t>
  </si>
  <si>
    <t>Missing or invalid ISO2 code</t>
  </si>
  <si>
    <t>https://www.cia.gov/the-world-factbook/countries/singapore/</t>
  </si>
  <si>
    <t>Country Profile Lookup</t>
  </si>
  <si>
    <t>Select a validated country to view its key indicators</t>
  </si>
  <si>
    <t>Select Country</t>
  </si>
  <si>
    <t>Valid_Country_List</t>
  </si>
  <si>
    <t>Metric</t>
  </si>
  <si>
    <t>ISO2 Code</t>
  </si>
  <si>
    <t>Area (km²)</t>
  </si>
  <si>
    <t>Calling Code</t>
  </si>
  <si>
    <t>GDP (USD)</t>
  </si>
  <si>
    <t>Unemployment Rate</t>
  </si>
  <si>
    <t>GDP Rank</t>
  </si>
  <si>
    <t>GDP per Capita</t>
  </si>
  <si>
    <t>Population Density</t>
  </si>
  <si>
    <t>Data Quality Status</t>
  </si>
  <si>
    <t>Dynamic Country Analysis</t>
  </si>
  <si>
    <t>Interactive analysis of unemployment and GDP indicators</t>
  </si>
  <si>
    <t>Countries with Unemployment Rate ≤ 10%</t>
  </si>
  <si>
    <t>Countries with GDP Above Global Average</t>
  </si>
  <si>
    <t>Global Average GDP</t>
  </si>
  <si>
    <t>Countries within ±5% of Selected GDP</t>
  </si>
  <si>
    <t>Selected GDP</t>
  </si>
  <si>
    <t xml:space="preserve"> GDP (USD)</t>
  </si>
  <si>
    <t xml:space="preserve"> Capital</t>
  </si>
  <si>
    <t xml:space="preserve"> Select Country</t>
  </si>
  <si>
    <t>Value</t>
  </si>
  <si>
    <t>Workbook Validation &amp; Quality Control</t>
  </si>
  <si>
    <t>Automated checks for data integrity, quality, and analytical outputs</t>
  </si>
  <si>
    <t>Category</t>
  </si>
  <si>
    <t>Validation Check</t>
  </si>
  <si>
    <t>Expected</t>
  </si>
  <si>
    <t>Actual</t>
  </si>
  <si>
    <t>Status</t>
  </si>
  <si>
    <t>Purpose</t>
  </si>
  <si>
    <t>Integrity</t>
  </si>
  <si>
    <t>Raw vs Clean Record Count</t>
  </si>
  <si>
    <t>Status Reconciliation</t>
  </si>
  <si>
    <t>Correction Log Reconciliation</t>
  </si>
  <si>
    <t>Data Quality</t>
  </si>
  <si>
    <t>Missing Required Values</t>
  </si>
  <si>
    <t>Invalid ISO2 Codes</t>
  </si>
  <si>
    <t>Duplicate Valid ISO2 Codes</t>
  </si>
  <si>
    <t>Invalid Numeric Values</t>
  </si>
  <si>
    <t>Unemployment Range Check</t>
  </si>
  <si>
    <t>Unresolved CHECK Records</t>
  </si>
  <si>
    <t>Analysis Output</t>
  </si>
  <si>
    <t>Unemployment Output Count</t>
  </si>
  <si>
    <t>Above-Average GDP Output Count</t>
  </si>
  <si>
    <t>Similar-GDP Output Count</t>
  </si>
  <si>
    <t>No records lost between raw and clean tables</t>
  </si>
  <si>
    <t>All records have a defined quality status</t>
  </si>
  <si>
    <t>Correction log agrees with corrected records</t>
  </si>
  <si>
    <t>Required fields contain no missing values</t>
  </si>
  <si>
    <t>Valid records contain two-character ISO2 codes</t>
  </si>
  <si>
    <t>No duplicate ISO2 codes among analysis-ready records</t>
  </si>
  <si>
    <t>Area, GDP, and Population contain valid positive values</t>
  </si>
  <si>
    <t>Unemployment rates remain between 0% and 100%</t>
  </si>
  <si>
    <t>Known unresolved records remain controlled and excluded</t>
  </si>
  <si>
    <t>Dynamic unemployment output matches an independent count</t>
  </si>
  <si>
    <t>Above-average GDP output matches an independent count</t>
  </si>
  <si>
    <t>±5% GDP output matches an independent count</t>
  </si>
  <si>
    <t>Largest Economies</t>
  </si>
  <si>
    <t>Highest GDP per Capita</t>
  </si>
  <si>
    <t>Highest Unemployment Rates</t>
  </si>
  <si>
    <t>Country Indicators – Key Insights</t>
  </si>
  <si>
    <t>A quick look at GDP, unemployment, and data quality</t>
  </si>
  <si>
    <t>Countries Used in Analysis</t>
  </si>
  <si>
    <t>Average GDP</t>
  </si>
  <si>
    <t>Median GDP</t>
  </si>
  <si>
    <t>Average Unemployment</t>
  </si>
  <si>
    <t>Countries at or Below 10%</t>
  </si>
  <si>
    <t xml:space="preserve"> Countries Above Average GDP</t>
  </si>
  <si>
    <t xml:space="preserve"> Corrected Records</t>
  </si>
  <si>
    <t>Records Kept for Review</t>
  </si>
  <si>
    <t>What Stands Out</t>
  </si>
  <si>
    <t>The source for this project is the dataset provided with Excel Exercise 03. The original values remain in Raw_Data. Verified changes are listed in the correction log in Clean_Data with the corrected value, source link, and reason.</t>
  </si>
  <si>
    <t>Source note</t>
  </si>
  <si>
    <t>4. Open Insights for the summary, rankings, and charts.</t>
  </si>
  <si>
    <t>3. Open Validation. Every completed check should show PASS.</t>
  </si>
  <si>
    <t>2. Open Dynamic_Analysis and choose a country to compare GDP values.</t>
  </si>
  <si>
    <t>1. Open Country_Lookup and choose a country from the yellow cell.</t>
  </si>
  <si>
    <t>How to use the workbook</t>
  </si>
  <si>
    <t>The workbook shows patterns in the data. It does not claim that one indicator causes another.</t>
  </si>
  <si>
    <t>Records marked CHECK are kept for transparency but are not included in calculations.</t>
  </si>
  <si>
    <t>This dataset is a snapshot, not a live source. The results only describe the values stored in this workbook.</t>
  </si>
  <si>
    <t>GDP values are shown in US dollars. Area is measured in square kilometres.</t>
  </si>
  <si>
    <t>Notes and limits</t>
  </si>
  <si>
    <t>3</t>
  </si>
  <si>
    <t>Countries within 5% of Iran's GDP</t>
  </si>
  <si>
    <t>25</t>
  </si>
  <si>
    <t>Countries above average GDP</t>
  </si>
  <si>
    <t>155</t>
  </si>
  <si>
    <t>Countries at or below 10% unemployment</t>
  </si>
  <si>
    <t>2</t>
  </si>
  <si>
    <t>Records kept for review</t>
  </si>
  <si>
    <t>7</t>
  </si>
  <si>
    <t>Corrected records</t>
  </si>
  <si>
    <t>193</t>
  </si>
  <si>
    <t>Records used in analysis</t>
  </si>
  <si>
    <t>195 / 195</t>
  </si>
  <si>
    <t>Raw and clean records</t>
  </si>
  <si>
    <t>Result</t>
  </si>
  <si>
    <t>Item</t>
  </si>
  <si>
    <t>Final checks</t>
  </si>
  <si>
    <t>Countries within 5% above or below the selected country's GDP. The selected country is not repeated.</t>
  </si>
  <si>
    <t>Similar GDP</t>
  </si>
  <si>
    <t>Countries with an unemployment rate of 10% or lower, sorted from low to high.</t>
  </si>
  <si>
    <t>Unemployment List</t>
  </si>
  <si>
    <t>Average GDP of all analysis-ready countries. CHECK rows are excluded.</t>
  </si>
  <si>
    <t>Population divided by area in square kilometres.</t>
  </si>
  <si>
    <t>GDP divided by population.</t>
  </si>
  <si>
    <t>Countries are ranked from highest to lowest GDP. CHECK rows are excluded.</t>
  </si>
  <si>
    <t>Rule used in the workbook</t>
  </si>
  <si>
    <t>Main calculations</t>
  </si>
  <si>
    <t>The row still needs review. It stays in the workbook but is left out of the analysis.</t>
  </si>
  <si>
    <t>CHECK</t>
  </si>
  <si>
    <t>A source value was wrong or missing and was replaced with a verified value.</t>
  </si>
  <si>
    <t>CORRECTED</t>
  </si>
  <si>
    <t>No issue was found in the checks used for this project.</t>
  </si>
  <si>
    <t>PASS</t>
  </si>
  <si>
    <t>Meaning</t>
  </si>
  <si>
    <t>Data quality rules</t>
  </si>
  <si>
    <t>A short guide to the workbook, its rules, and its limits.</t>
  </si>
  <si>
    <t>Documentation</t>
  </si>
  <si>
    <t>Key figures, country rankings, short findings, and two charts.</t>
  </si>
  <si>
    <t>Insights</t>
  </si>
  <si>
    <t>Independent checks for record counts, data quality, and analytical outputs.</t>
  </si>
  <si>
    <t>Validation</t>
  </si>
  <si>
    <t>Dynamic country lists for unemployment and GDP comparisons.</t>
  </si>
  <si>
    <t>Dynamic_Analysis</t>
  </si>
  <si>
    <t>Choose a country and view its main indicators.</t>
  </si>
  <si>
    <t>Country_Lookup</t>
  </si>
  <si>
    <t>The cleaned table, calculated fields, quality status, and the correction log.</t>
  </si>
  <si>
    <t>Clean_Data</t>
  </si>
  <si>
    <t>The original exercise data. Nothing in this sheet was changed.</t>
  </si>
  <si>
    <t>Raw_Data</t>
  </si>
  <si>
    <t>What it contains</t>
  </si>
  <si>
    <t>Sheet</t>
  </si>
  <si>
    <t>Workbook guide</t>
  </si>
  <si>
    <t>I kept the original data in Raw_Data and built the analysis on a separate clean table. I corrected the source values that I could verify, kept a record of every change, and marked two doubtful rows for review. I then added country lookups, dynamic lists, validation checks, summary metrics, and charts.</t>
  </si>
  <si>
    <t>What I did</t>
  </si>
  <si>
    <t>195 country records from the exercise file</t>
  </si>
  <si>
    <t>Dataset</t>
  </si>
  <si>
    <t>Microsoft Excel</t>
  </si>
  <si>
    <t>Tool</t>
  </si>
  <si>
    <t>Excel Exercise 03 — Data Analyst Training Program, Tose'e Institute</t>
  </si>
  <si>
    <t>Course</t>
  </si>
  <si>
    <t>Fatemeh Kamrani</t>
  </si>
  <si>
    <t>Author</t>
  </si>
  <si>
    <t>Global Country Indicators Analysis</t>
  </si>
  <si>
    <t>Project</t>
  </si>
  <si>
    <t>Project at a glance</t>
  </si>
  <si>
    <t>Workbook Documentation</t>
  </si>
  <si>
    <t>https://2009-2017.state.gov/outofdate/bgn/kiribati/102981.htm</t>
  </si>
  <si>
    <t>https://data.worldbank.org/indicator/AG.SRF.TOTL.K2?locations=LK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</si>
</sst>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#,##0.0"/>
    <numFmt numFmtId="166" formatCode="\$#,##0"/>
    <numFmt numFmtId="176" formatCode="0.0%"/>
    <numFmt numFmtId="181" formatCode="&quot;$&quot;0.0,,,&quot;B&quot;"/>
    <numFmt numFmtId="182" formatCode="&quot;$&quot;#,##0"/>
    <numFmt numFmtId="183" formatCode="&quot;$&quot;#,##0.0"/>
  </numFmts>
  <fonts count="27">
    <font>
      <sz val="12"/>
      <color theme="1"/>
      <name val="B Zar"/>
      <family val="2"/>
      <charset val="178"/>
    </font>
    <font>
      <sz val="11"/>
      <color theme="1"/>
      <name val="B Zar"/>
      <family val="2"/>
      <charset val="178"/>
    </font>
    <font>
      <b/>
      <sz val="14"/>
      <color theme="0"/>
      <name val="B Zar"/>
      <charset val="178"/>
    </font>
    <font>
      <sz val="12"/>
      <color rgb="FF334155"/>
      <name val="B Zar"/>
      <family val="2"/>
      <charset val="178"/>
    </font>
    <font>
      <sz val="11"/>
      <color rgb="FF334155"/>
      <name val="Times New Roman"/>
      <family val="1"/>
      <scheme val="major"/>
    </font>
    <font>
      <b/>
      <sz val="12"/>
      <color rgb="FF92400E"/>
      <name val="B Zar"/>
      <charset val="178"/>
    </font>
    <font>
      <sz val="11"/>
      <color rgb="FF166534"/>
      <name val="B Zar"/>
      <family val="2"/>
      <charset val="178"/>
    </font>
    <font>
      <sz val="11"/>
      <color theme="9"/>
      <name val="Times New Roman"/>
      <family val="1"/>
      <scheme val="major"/>
    </font>
    <font>
      <b/>
      <sz val="13"/>
      <color rgb="FF334155"/>
      <name val="B Zar"/>
      <family val="2"/>
      <charset val="178"/>
    </font>
    <font>
      <sz val="12"/>
      <color theme="1"/>
      <name val="B Zar"/>
      <family val="2"/>
      <charset val="178"/>
    </font>
    <font>
      <u/>
      <sz val="12"/>
      <color theme="10"/>
      <name val="B Zar"/>
      <family val="2"/>
      <charset val="178"/>
    </font>
    <font>
      <sz val="12"/>
      <color theme="0"/>
      <name val="Aptos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sz val="12"/>
      <color theme="0"/>
      <name val="Aptos"/>
      <family val="2"/>
    </font>
    <font>
      <sz val="11"/>
      <name val="Carlito"/>
    </font>
    <font>
      <i/>
      <sz val="9"/>
      <color rgb="FF555555"/>
      <name val="Aptos"/>
      <family val="2"/>
    </font>
    <font>
      <sz val="11"/>
      <name val="Aptos"/>
      <family val="2"/>
    </font>
    <font>
      <sz val="10"/>
      <color rgb="FF222222"/>
      <name val="Aptos"/>
      <family val="2"/>
    </font>
    <font>
      <b/>
      <sz val="11"/>
      <color rgb="FFFFFFFF"/>
      <name val="Aptos"/>
      <family val="2"/>
    </font>
    <font>
      <b/>
      <sz val="10"/>
      <color rgb="FF222222"/>
      <name val="Aptos"/>
      <family val="2"/>
    </font>
    <font>
      <sz val="11"/>
      <color rgb="FFEDE7F6"/>
      <name val="Aptos"/>
      <family val="2"/>
    </font>
    <font>
      <b/>
      <sz val="18"/>
      <color rgb="FFFFFFFF"/>
      <name val="Aptos"/>
      <family val="2"/>
    </font>
    <font>
      <b/>
      <sz val="18"/>
      <color theme="0"/>
      <name val="Aptos"/>
      <family val="2"/>
    </font>
    <font>
      <b/>
      <sz val="18"/>
      <color theme="1"/>
      <name val="Aptos"/>
      <family val="2"/>
    </font>
  </fonts>
  <fills count="2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DE9FE"/>
        <bgColor indexed="64"/>
      </patternFill>
    </fill>
    <fill>
      <patternFill patternType="solid">
        <fgColor rgb="FFF5F3FF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ADE8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</patternFill>
    </fill>
    <fill>
      <patternFill patternType="solid">
        <fgColor rgb="FFF5F0FC"/>
      </patternFill>
    </fill>
    <fill>
      <patternFill patternType="solid">
        <fgColor rgb="FF3D1874"/>
      </patternFill>
    </fill>
    <fill>
      <patternFill patternType="solid">
        <fgColor rgb="FFF3F4F6"/>
      </patternFill>
    </fill>
    <fill>
      <patternFill patternType="solid">
        <fgColor rgb="FFDDD0F5"/>
      </patternFill>
    </fill>
  </fills>
  <borders count="27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4B5FD"/>
      </left>
      <right style="thin">
        <color rgb="FFC4B5FD"/>
      </right>
      <top style="thin">
        <color rgb="FFC4B5FD"/>
      </top>
      <bottom style="thin">
        <color rgb="FFC4B5FD"/>
      </bottom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4ADE80"/>
      </left>
      <right style="thin">
        <color rgb="FF4ADE80"/>
      </right>
      <top style="thin">
        <color rgb="FF4ADE80"/>
      </top>
      <bottom style="thin">
        <color rgb="FF4ADE80"/>
      </bottom>
      <diagonal/>
    </border>
    <border>
      <left style="thin">
        <color rgb="FF4C1D95"/>
      </left>
      <right style="thin">
        <color rgb="FF4C1D95"/>
      </right>
      <top style="thin">
        <color rgb="FF4C1D95"/>
      </top>
      <bottom style="thin">
        <color rgb="FF4C1D95"/>
      </bottom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/>
      <right/>
      <top style="thin">
        <color rgb="FF7030A0"/>
      </top>
      <bottom style="thin">
        <color rgb="FF7030A0"/>
      </bottom>
      <diagonal/>
    </border>
    <border>
      <left/>
      <right style="thin">
        <color rgb="FF7030A0"/>
      </right>
      <top style="thin">
        <color rgb="FF7030A0"/>
      </top>
      <bottom style="thin">
        <color rgb="FF7030A0"/>
      </bottom>
      <diagonal/>
    </border>
    <border>
      <left/>
      <right style="thin">
        <color rgb="FFC8B5EA"/>
      </right>
      <top/>
      <bottom style="thin">
        <color rgb="FFC8B5EA"/>
      </bottom>
      <diagonal/>
    </border>
    <border>
      <left/>
      <right/>
      <top/>
      <bottom style="thin">
        <color rgb="FFC8B5EA"/>
      </bottom>
      <diagonal/>
    </border>
    <border>
      <left style="thin">
        <color rgb="FFC8B5EA"/>
      </left>
      <right/>
      <top/>
      <bottom style="thin">
        <color rgb="FFC8B5EA"/>
      </bottom>
      <diagonal/>
    </border>
    <border>
      <left/>
      <right style="thin">
        <color rgb="FFC8B5EA"/>
      </right>
      <top/>
      <bottom/>
      <diagonal/>
    </border>
    <border>
      <left style="thin">
        <color rgb="FFC8B5EA"/>
      </left>
      <right/>
      <top/>
      <bottom/>
      <diagonal/>
    </border>
    <border>
      <left/>
      <right style="thin">
        <color rgb="FFC8B5EA"/>
      </right>
      <top style="thin">
        <color rgb="FFC8B5EA"/>
      </top>
      <bottom/>
      <diagonal/>
    </border>
    <border>
      <left/>
      <right/>
      <top style="thin">
        <color rgb="FFC8B5EA"/>
      </top>
      <bottom/>
      <diagonal/>
    </border>
    <border>
      <left style="thin">
        <color rgb="FFC8B5EA"/>
      </left>
      <right/>
      <top style="thin">
        <color rgb="FFC8B5EA"/>
      </top>
      <bottom/>
      <diagonal/>
    </border>
    <border>
      <left style="thin">
        <color rgb="FFC8B5EA"/>
      </left>
      <right style="thin">
        <color rgb="FFC8B5EA"/>
      </right>
      <top style="thin">
        <color rgb="FFC8B5EA"/>
      </top>
      <bottom style="thin">
        <color rgb="FFC8B5EA"/>
      </bottom>
      <diagonal/>
    </border>
  </borders>
  <cellStyleXfs count="13">
    <xf numFmtId="0" fontId="0" fillId="0" borderId="0"/>
    <xf numFmtId="0" fontId="2" fillId="2" borderId="5">
      <alignment horizontal="center" vertical="center"/>
    </xf>
    <xf numFmtId="0" fontId="8" fillId="0" borderId="6">
      <alignment horizontal="center" vertical="center" wrapText="1"/>
    </xf>
    <xf numFmtId="0" fontId="1" fillId="0" borderId="1"/>
    <xf numFmtId="0" fontId="3" fillId="4" borderId="1">
      <alignment horizontal="center" vertical="center" wrapText="1" readingOrder="1"/>
    </xf>
    <xf numFmtId="0" fontId="4" fillId="3" borderId="1">
      <alignment horizontal="center" vertical="center" wrapText="1" readingOrder="1"/>
    </xf>
    <xf numFmtId="0" fontId="3" fillId="5" borderId="2">
      <alignment horizontal="center" vertical="center" wrapText="1"/>
    </xf>
    <xf numFmtId="0" fontId="5" fillId="6" borderId="3">
      <alignment horizontal="center" vertical="center" wrapText="1"/>
    </xf>
    <xf numFmtId="0" fontId="6" fillId="7" borderId="4">
      <alignment horizontal="center" vertical="center" wrapText="1"/>
    </xf>
    <xf numFmtId="164" fontId="7" fillId="3" borderId="1">
      <alignment horizontal="center" vertical="center" wrapText="1"/>
    </xf>
    <xf numFmtId="9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7" fillId="0" borderId="0"/>
  </cellStyleXfs>
  <cellXfs count="105">
    <xf numFmtId="0" fontId="0" fillId="0" borderId="0" xfId="0"/>
    <xf numFmtId="0" fontId="12" fillId="0" borderId="0" xfId="0" applyFont="1" applyAlignment="1">
      <alignment vertical="center"/>
    </xf>
    <xf numFmtId="0" fontId="12" fillId="14" borderId="0" xfId="0" applyFont="1" applyFill="1" applyAlignment="1">
      <alignment horizontal="center" vertical="center"/>
    </xf>
    <xf numFmtId="176" fontId="12" fillId="0" borderId="0" xfId="0" applyNumberFormat="1" applyFont="1" applyAlignment="1">
      <alignment vertical="center"/>
    </xf>
    <xf numFmtId="3" fontId="12" fillId="0" borderId="0" xfId="0" applyNumberFormat="1" applyFont="1" applyAlignment="1">
      <alignment vertical="center"/>
    </xf>
    <xf numFmtId="0" fontId="12" fillId="0" borderId="0" xfId="0" applyFont="1" applyAlignment="1">
      <alignment vertical="center" wrapText="1"/>
    </xf>
    <xf numFmtId="0" fontId="11" fillId="17" borderId="14" xfId="0" applyFont="1" applyFill="1" applyBorder="1" applyAlignment="1">
      <alignment horizontal="center" vertical="center" wrapText="1"/>
    </xf>
    <xf numFmtId="0" fontId="12" fillId="16" borderId="14" xfId="0" applyFont="1" applyFill="1" applyBorder="1" applyAlignment="1">
      <alignment vertical="center" wrapText="1"/>
    </xf>
    <xf numFmtId="176" fontId="12" fillId="16" borderId="14" xfId="0" applyNumberFormat="1" applyFont="1" applyFill="1" applyBorder="1" applyAlignment="1">
      <alignment vertical="center" wrapText="1"/>
    </xf>
    <xf numFmtId="0" fontId="12" fillId="16" borderId="14" xfId="0" applyFont="1" applyFill="1" applyBorder="1" applyAlignment="1">
      <alignment horizontal="center" vertical="center" wrapText="1"/>
    </xf>
    <xf numFmtId="4" fontId="12" fillId="0" borderId="14" xfId="0" applyNumberFormat="1" applyFont="1" applyBorder="1" applyAlignment="1">
      <alignment horizontal="center" vertical="center"/>
    </xf>
    <xf numFmtId="0" fontId="12" fillId="15" borderId="14" xfId="0" applyFont="1" applyFill="1" applyBorder="1" applyAlignment="1">
      <alignment vertical="center" wrapText="1"/>
    </xf>
    <xf numFmtId="0" fontId="13" fillId="11" borderId="14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vertical="center" wrapText="1"/>
    </xf>
    <xf numFmtId="0" fontId="12" fillId="0" borderId="14" xfId="0" applyFont="1" applyBorder="1" applyAlignment="1">
      <alignment vertical="center"/>
    </xf>
    <xf numFmtId="176" fontId="12" fillId="0" borderId="14" xfId="0" applyNumberFormat="1" applyFont="1" applyBorder="1" applyAlignment="1">
      <alignment vertical="center"/>
    </xf>
    <xf numFmtId="3" fontId="12" fillId="0" borderId="14" xfId="0" applyNumberFormat="1" applyFont="1" applyBorder="1" applyAlignment="1">
      <alignment vertical="center"/>
    </xf>
    <xf numFmtId="0" fontId="12" fillId="0" borderId="14" xfId="0" applyFont="1" applyBorder="1" applyAlignment="1">
      <alignment horizontal="center" vertical="center" wrapText="1"/>
    </xf>
    <xf numFmtId="3" fontId="12" fillId="0" borderId="14" xfId="0" applyNumberFormat="1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3" fontId="12" fillId="0" borderId="14" xfId="0" applyNumberFormat="1" applyFont="1" applyBorder="1" applyAlignment="1">
      <alignment horizontal="center" vertical="center"/>
    </xf>
    <xf numFmtId="3" fontId="12" fillId="0" borderId="14" xfId="0" applyNumberFormat="1" applyFont="1" applyBorder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5" fillId="10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49" fontId="15" fillId="0" borderId="14" xfId="0" applyNumberFormat="1" applyFont="1" applyBorder="1" applyAlignment="1">
      <alignment horizontal="center" vertical="center"/>
    </xf>
    <xf numFmtId="3" fontId="15" fillId="0" borderId="14" xfId="0" applyNumberFormat="1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9" fontId="15" fillId="0" borderId="14" xfId="10" applyFont="1" applyBorder="1" applyAlignment="1">
      <alignment horizontal="center" vertical="center"/>
    </xf>
    <xf numFmtId="4" fontId="15" fillId="0" borderId="14" xfId="0" applyNumberFormat="1" applyFont="1" applyBorder="1" applyAlignment="1">
      <alignment horizontal="center" vertical="center"/>
    </xf>
    <xf numFmtId="1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3" fontId="12" fillId="0" borderId="0" xfId="0" applyNumberFormat="1" applyFont="1" applyAlignment="1">
      <alignment horizontal="center" vertical="center" wrapText="1"/>
    </xf>
    <xf numFmtId="176" fontId="12" fillId="0" borderId="0" xfId="0" applyNumberFormat="1" applyFont="1" applyAlignment="1">
      <alignment horizontal="center" vertical="center" wrapText="1"/>
    </xf>
    <xf numFmtId="4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9" fontId="12" fillId="0" borderId="0" xfId="10" applyNumberFormat="1" applyFont="1" applyAlignment="1">
      <alignment horizontal="center" vertical="center"/>
    </xf>
    <xf numFmtId="0" fontId="12" fillId="0" borderId="0" xfId="0" applyFont="1"/>
    <xf numFmtId="0" fontId="11" fillId="17" borderId="15" xfId="0" applyFont="1" applyFill="1" applyBorder="1" applyAlignment="1">
      <alignment horizontal="center" vertical="center" wrapText="1"/>
    </xf>
    <xf numFmtId="0" fontId="11" fillId="17" borderId="16" xfId="0" applyFont="1" applyFill="1" applyBorder="1" applyAlignment="1">
      <alignment horizontal="center" vertical="center" wrapText="1"/>
    </xf>
    <xf numFmtId="0" fontId="11" fillId="17" borderId="17" xfId="0" applyFont="1" applyFill="1" applyBorder="1" applyAlignment="1">
      <alignment horizontal="center" vertical="center" wrapText="1"/>
    </xf>
    <xf numFmtId="0" fontId="12" fillId="11" borderId="13" xfId="0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 wrapText="1"/>
    </xf>
    <xf numFmtId="0" fontId="11" fillId="17" borderId="0" xfId="0" applyFont="1" applyFill="1" applyAlignment="1">
      <alignment horizontal="center" vertical="center"/>
    </xf>
    <xf numFmtId="1" fontId="12" fillId="0" borderId="14" xfId="0" applyNumberFormat="1" applyFont="1" applyBorder="1" applyAlignment="1">
      <alignment horizontal="center" vertical="center"/>
    </xf>
    <xf numFmtId="181" fontId="12" fillId="0" borderId="14" xfId="0" applyNumberFormat="1" applyFont="1" applyBorder="1" applyAlignment="1">
      <alignment horizontal="center" vertical="center"/>
    </xf>
    <xf numFmtId="10" fontId="12" fillId="0" borderId="14" xfId="1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9" fontId="12" fillId="0" borderId="0" xfId="10" applyFont="1" applyAlignment="1">
      <alignment horizontal="center" vertical="center"/>
    </xf>
    <xf numFmtId="1" fontId="12" fillId="0" borderId="0" xfId="10" applyNumberFormat="1" applyFont="1" applyAlignment="1">
      <alignment horizontal="center" vertical="center"/>
    </xf>
    <xf numFmtId="9" fontId="12" fillId="0" borderId="14" xfId="10" applyFont="1" applyBorder="1" applyAlignment="1">
      <alignment horizontal="center" vertical="center"/>
    </xf>
    <xf numFmtId="0" fontId="12" fillId="18" borderId="14" xfId="0" applyFont="1" applyFill="1" applyBorder="1" applyAlignment="1">
      <alignment horizontal="center" vertical="center" wrapText="1"/>
    </xf>
    <xf numFmtId="164" fontId="12" fillId="18" borderId="14" xfId="0" applyNumberFormat="1" applyFont="1" applyFill="1" applyBorder="1" applyAlignment="1">
      <alignment horizontal="center" vertical="center" wrapText="1"/>
    </xf>
    <xf numFmtId="9" fontId="12" fillId="18" borderId="14" xfId="10" applyFont="1" applyFill="1" applyBorder="1" applyAlignment="1">
      <alignment horizontal="center" vertical="center" wrapText="1"/>
    </xf>
    <xf numFmtId="0" fontId="12" fillId="18" borderId="14" xfId="0" applyFont="1" applyFill="1" applyBorder="1" applyAlignment="1">
      <alignment horizontal="center" vertical="center"/>
    </xf>
    <xf numFmtId="182" fontId="12" fillId="0" borderId="14" xfId="0" applyNumberFormat="1" applyFont="1" applyBorder="1" applyAlignment="1">
      <alignment horizontal="center" vertical="center"/>
    </xf>
    <xf numFmtId="183" fontId="12" fillId="0" borderId="14" xfId="0" applyNumberFormat="1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16" fillId="8" borderId="7" xfId="0" applyFont="1" applyFill="1" applyBorder="1" applyAlignment="1">
      <alignment horizontal="center" vertical="center" wrapText="1"/>
    </xf>
    <xf numFmtId="0" fontId="16" fillId="8" borderId="8" xfId="0" applyFont="1" applyFill="1" applyBorder="1" applyAlignment="1">
      <alignment horizontal="center" vertical="center" wrapText="1"/>
    </xf>
    <xf numFmtId="0" fontId="16" fillId="8" borderId="8" xfId="0" applyFont="1" applyFill="1" applyBorder="1" applyAlignment="1">
      <alignment vertical="center" wrapText="1"/>
    </xf>
    <xf numFmtId="0" fontId="16" fillId="8" borderId="9" xfId="0" applyFont="1" applyFill="1" applyBorder="1" applyAlignment="1">
      <alignment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23" fillId="21" borderId="0" xfId="12" applyFont="1" applyFill="1" applyAlignment="1">
      <alignment horizontal="center" vertical="center"/>
    </xf>
    <xf numFmtId="0" fontId="24" fillId="21" borderId="0" xfId="12" applyFont="1" applyFill="1" applyAlignment="1">
      <alignment horizontal="center" vertical="center"/>
    </xf>
    <xf numFmtId="0" fontId="17" fillId="0" borderId="0" xfId="12" applyAlignment="1">
      <alignment horizontal="center"/>
    </xf>
    <xf numFmtId="0" fontId="19" fillId="0" borderId="0" xfId="12" applyFont="1" applyAlignment="1">
      <alignment horizontal="center"/>
    </xf>
    <xf numFmtId="0" fontId="21" fillId="21" borderId="0" xfId="12" applyFont="1" applyFill="1" applyAlignment="1">
      <alignment horizontal="center" vertical="center"/>
    </xf>
    <xf numFmtId="0" fontId="22" fillId="23" borderId="26" xfId="12" applyFont="1" applyFill="1" applyBorder="1" applyAlignment="1">
      <alignment horizontal="center" vertical="center"/>
    </xf>
    <xf numFmtId="0" fontId="20" fillId="19" borderId="26" xfId="12" applyFont="1" applyFill="1" applyBorder="1" applyAlignment="1">
      <alignment horizontal="center" vertical="center" wrapText="1"/>
    </xf>
    <xf numFmtId="0" fontId="20" fillId="20" borderId="25" xfId="12" applyFont="1" applyFill="1" applyBorder="1" applyAlignment="1">
      <alignment horizontal="center" vertical="center" wrapText="1"/>
    </xf>
    <xf numFmtId="0" fontId="20" fillId="20" borderId="24" xfId="12" applyFont="1" applyFill="1" applyBorder="1" applyAlignment="1">
      <alignment horizontal="center" vertical="center" wrapText="1"/>
    </xf>
    <xf numFmtId="0" fontId="20" fillId="20" borderId="23" xfId="12" applyFont="1" applyFill="1" applyBorder="1" applyAlignment="1">
      <alignment horizontal="center" vertical="center" wrapText="1"/>
    </xf>
    <xf numFmtId="0" fontId="20" fillId="20" borderId="22" xfId="12" applyFont="1" applyFill="1" applyBorder="1" applyAlignment="1">
      <alignment horizontal="center" vertical="center" wrapText="1"/>
    </xf>
    <xf numFmtId="0" fontId="20" fillId="20" borderId="0" xfId="12" applyFont="1" applyFill="1" applyAlignment="1">
      <alignment horizontal="center" vertical="center" wrapText="1"/>
    </xf>
    <xf numFmtId="0" fontId="20" fillId="20" borderId="21" xfId="12" applyFont="1" applyFill="1" applyBorder="1" applyAlignment="1">
      <alignment horizontal="center" vertical="center" wrapText="1"/>
    </xf>
    <xf numFmtId="0" fontId="20" fillId="20" borderId="20" xfId="12" applyFont="1" applyFill="1" applyBorder="1" applyAlignment="1">
      <alignment horizontal="center" vertical="center" wrapText="1"/>
    </xf>
    <xf numFmtId="0" fontId="20" fillId="20" borderId="19" xfId="12" applyFont="1" applyFill="1" applyBorder="1" applyAlignment="1">
      <alignment horizontal="center" vertical="center" wrapText="1"/>
    </xf>
    <xf numFmtId="0" fontId="20" fillId="20" borderId="18" xfId="12" applyFont="1" applyFill="1" applyBorder="1" applyAlignment="1">
      <alignment horizontal="center" vertical="center" wrapText="1"/>
    </xf>
    <xf numFmtId="0" fontId="22" fillId="23" borderId="6" xfId="12" applyFont="1" applyFill="1" applyBorder="1" applyAlignment="1">
      <alignment horizontal="center" vertical="center"/>
    </xf>
    <xf numFmtId="0" fontId="22" fillId="19" borderId="26" xfId="12" applyFont="1" applyFill="1" applyBorder="1" applyAlignment="1">
      <alignment horizontal="center" vertical="center" wrapText="1"/>
    </xf>
    <xf numFmtId="0" fontId="22" fillId="22" borderId="26" xfId="12" applyFont="1" applyFill="1" applyBorder="1" applyAlignment="1">
      <alignment horizontal="center" vertical="center" wrapText="1"/>
    </xf>
    <xf numFmtId="0" fontId="20" fillId="22" borderId="26" xfId="12" applyFont="1" applyFill="1" applyBorder="1" applyAlignment="1">
      <alignment horizontal="center" vertical="center" wrapText="1"/>
    </xf>
    <xf numFmtId="0" fontId="18" fillId="19" borderId="0" xfId="12" applyFont="1" applyFill="1" applyAlignment="1">
      <alignment horizontal="center" vertical="center"/>
    </xf>
    <xf numFmtId="0" fontId="25" fillId="17" borderId="0" xfId="0" applyFont="1" applyFill="1" applyAlignment="1">
      <alignment horizontal="center" vertical="center"/>
    </xf>
    <xf numFmtId="0" fontId="25" fillId="17" borderId="15" xfId="0" applyFont="1" applyFill="1" applyBorder="1" applyAlignment="1">
      <alignment horizontal="center" vertical="center" wrapText="1"/>
    </xf>
    <xf numFmtId="0" fontId="25" fillId="17" borderId="16" xfId="0" applyFont="1" applyFill="1" applyBorder="1" applyAlignment="1">
      <alignment horizontal="center" vertical="center" wrapText="1"/>
    </xf>
    <xf numFmtId="0" fontId="25" fillId="17" borderId="17" xfId="0" applyFont="1" applyFill="1" applyBorder="1" applyAlignment="1">
      <alignment horizontal="center" vertical="center" wrapText="1"/>
    </xf>
    <xf numFmtId="0" fontId="25" fillId="13" borderId="0" xfId="0" applyFont="1" applyFill="1" applyAlignment="1">
      <alignment horizontal="center" vertical="center"/>
    </xf>
    <xf numFmtId="0" fontId="26" fillId="9" borderId="0" xfId="0" applyFont="1" applyFill="1" applyAlignment="1">
      <alignment horizontal="center" vertical="center"/>
    </xf>
    <xf numFmtId="0" fontId="10" fillId="0" borderId="0" xfId="11" applyAlignment="1">
      <alignment horizontal="center" vertical="center"/>
    </xf>
  </cellXfs>
  <cellStyles count="13">
    <cellStyle name="Amount - TNR" xfId="9" xr:uid="{E52AB49C-C247-42DD-A347-5BB02A9F9429}"/>
    <cellStyle name="English Data - TNR" xfId="5" xr:uid="{7530A6B9-5D35-4833-AB27-F9BB7090D8B2}"/>
    <cellStyle name="Hyperlink" xfId="11" builtinId="8"/>
    <cellStyle name="Normal" xfId="0" builtinId="0" customBuiltin="1"/>
    <cellStyle name="Normal 2" xfId="12" xr:uid="{08E66C03-7351-4262-B655-AAFF6944A8ED}"/>
    <cellStyle name="Percent" xfId="10" builtinId="5"/>
    <cellStyle name="تأیید شده - سبز" xfId="8" xr:uid="{875AD40C-CAA2-40B9-9C62-EEE7A0641A5E}"/>
    <cellStyle name="تیتر فارسی - بنفش" xfId="1" xr:uid="{0908B2F0-D2BA-4EEB-9879-552D734F9590}"/>
    <cellStyle name="داده فارسی - سفید" xfId="3" xr:uid="{F0A42CAA-9F14-4920-A626-CF9BE39E0834}"/>
    <cellStyle name="داده فارسی - یاسی روشن" xfId="4" xr:uid="{2B810F3E-FBF2-489E-835A-698174A73AFC}"/>
    <cellStyle name="سرتیتر جدول - یاسی" xfId="2" xr:uid="{49C073F7-AB4E-4AFE-BE42-E076DB44E6CA}"/>
    <cellStyle name="سلول ورودی - یاسی روشن" xfId="6" xr:uid="{9826B0E9-96D3-4DAE-943F-44FB4D66FF12}"/>
    <cellStyle name="هشدار - نیاز به بررسی" xfId="7" xr:uid="{B83211B8-0F24-4A3C-A7B9-0ED8A545BBAF}"/>
  </cellStyles>
  <dxfs count="4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6" formatCode="\$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4" formatCode="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4" formatCode="#,##0.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76" formatCode="0.0%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3" formatCode="#,##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" formatCode="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3" formatCode="#,##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" formatCode="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u val="none"/>
        <color theme="1"/>
      </font>
      <fill>
        <patternFill patternType="solid">
          <fgColor rgb="FFE6E6FA"/>
        </pattern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rgb="FF9370DB"/>
          </stop>
          <stop position="1">
            <color auto="1"/>
          </stop>
        </gradientFill>
      </fill>
    </dxf>
    <dxf>
      <font>
        <u val="none"/>
        <color theme="1"/>
      </font>
      <fill>
        <gradientFill degree="90">
          <stop position="0">
            <color rgb="FFE6E6FA"/>
          </stop>
          <stop position="1">
            <color rgb="FFE6E6FA"/>
          </stop>
        </gradient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e Style 1" pivot="0" count="4" xr9:uid="{8B336032-1D58-4C80-8E74-634AB2DF677E}">
      <tableStyleElement type="wholeTable" dxfId="45"/>
      <tableStyleElement type="headerRow" dxfId="44"/>
      <tableStyleElement type="secondRowStripe" dxfId="43"/>
      <tableStyleElement type="firstColumnStripe" dxfId="42"/>
    </tableStyle>
  </tableStyles>
  <colors>
    <mruColors>
      <color rgb="FF4ADE80"/>
      <color rgb="FF7C3AED"/>
      <color rgb="FFC4B5FD"/>
      <color rgb="FF334155"/>
      <color rgb="FFE2E8F0"/>
      <color rgb="FF7C39ED"/>
      <color rgb="FF4C1D95"/>
      <color rgb="FF166534"/>
      <color rgb="FFDCFCE7"/>
      <color rgb="FFF59E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Top 10 Economies by GDP</a:t>
            </a:r>
          </a:p>
        </c:rich>
      </c:tx>
      <c:layout>
        <c:manualLayout>
          <c:xMode val="edge"/>
          <c:yMode val="edge"/>
          <c:x val="0.34512691248959732"/>
          <c:y val="2.25733634311512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a-I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FE3-4B87-981D-FF145B35F585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FE3-4B87-981D-FF145B35F585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FE3-4B87-981D-FF145B35F585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FE3-4B87-981D-FF145B35F585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FE3-4B87-981D-FF145B35F585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FFE3-4B87-981D-FF145B35F585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FFE3-4B87-981D-FF145B35F585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FFE3-4B87-981D-FF145B35F585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FFE3-4B87-981D-FF145B35F585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FFE3-4B87-981D-FF145B35F585}"/>
                </c:ext>
              </c:extLst>
            </c:dLbl>
            <c:numFmt formatCode="&quot;$&quot;0.0,,,,&quot;T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a-I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Insights!$B$13:$B$22</c:f>
              <c:strCache>
                <c:ptCount val="10"/>
                <c:pt idx="0">
                  <c:v>United States</c:v>
                </c:pt>
                <c:pt idx="1">
                  <c:v>China</c:v>
                </c:pt>
                <c:pt idx="2">
                  <c:v>Japan</c:v>
                </c:pt>
                <c:pt idx="3">
                  <c:v>Germany</c:v>
                </c:pt>
                <c:pt idx="4">
                  <c:v>United Kingdom</c:v>
                </c:pt>
                <c:pt idx="5">
                  <c:v>France</c:v>
                </c:pt>
                <c:pt idx="6">
                  <c:v>India</c:v>
                </c:pt>
                <c:pt idx="7">
                  <c:v>South Korea</c:v>
                </c:pt>
                <c:pt idx="8">
                  <c:v>Italy</c:v>
                </c:pt>
                <c:pt idx="9">
                  <c:v>Brazil</c:v>
                </c:pt>
              </c:strCache>
            </c:strRef>
          </c:cat>
          <c:val>
            <c:numRef>
              <c:f>Insights!$C$13:$C$22</c:f>
              <c:numCache>
                <c:formatCode>"$"#,##0</c:formatCode>
                <c:ptCount val="10"/>
                <c:pt idx="0">
                  <c:v>21427700000000</c:v>
                </c:pt>
                <c:pt idx="1">
                  <c:v>19910000000000</c:v>
                </c:pt>
                <c:pt idx="2">
                  <c:v>5081769542380</c:v>
                </c:pt>
                <c:pt idx="3">
                  <c:v>3845630030824</c:v>
                </c:pt>
                <c:pt idx="4">
                  <c:v>2827113184696</c:v>
                </c:pt>
                <c:pt idx="5">
                  <c:v>2715518274227</c:v>
                </c:pt>
                <c:pt idx="6">
                  <c:v>2611000000000</c:v>
                </c:pt>
                <c:pt idx="7">
                  <c:v>2029000000000</c:v>
                </c:pt>
                <c:pt idx="8">
                  <c:v>2001244392042</c:v>
                </c:pt>
                <c:pt idx="9">
                  <c:v>1839758040766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E3-4B87-981D-FF145B35F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0560400"/>
        <c:axId val="1125476464"/>
      </c:barChart>
      <c:catAx>
        <c:axId val="17905604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a-IR"/>
          </a:p>
        </c:txPr>
        <c:crossAx val="1125476464"/>
        <c:crosses val="autoZero"/>
        <c:auto val="1"/>
        <c:lblAlgn val="ctr"/>
        <c:lblOffset val="100"/>
        <c:noMultiLvlLbl val="0"/>
      </c:catAx>
      <c:valAx>
        <c:axId val="1125476464"/>
        <c:scaling>
          <c:orientation val="minMax"/>
        </c:scaling>
        <c:delete val="0"/>
        <c:axPos val="t"/>
        <c:numFmt formatCode="&quot;$&quot;0.0,,,,&quot;T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a-IR"/>
          </a:p>
        </c:txPr>
        <c:crossAx val="179056040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a-I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Highest Unemployment Rates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a-I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a-I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Insights!$H$13:$H$24</c:f>
              <c:strCache>
                <c:ptCount val="12"/>
                <c:pt idx="0">
                  <c:v>South Africa</c:v>
                </c:pt>
                <c:pt idx="1">
                  <c:v>Lesotho</c:v>
                </c:pt>
                <c:pt idx="2">
                  <c:v>Saint Lucia</c:v>
                </c:pt>
                <c:pt idx="3">
                  <c:v>Gabon</c:v>
                </c:pt>
                <c:pt idx="4">
                  <c:v>Namibia</c:v>
                </c:pt>
                <c:pt idx="5">
                  <c:v>Libya</c:v>
                </c:pt>
                <c:pt idx="6">
                  <c:v>Saint Vincent and the Grenadines</c:v>
                </c:pt>
                <c:pt idx="7">
                  <c:v>Bosnia and Herzegovina</c:v>
                </c:pt>
                <c:pt idx="8">
                  <c:v>Botswana</c:v>
                </c:pt>
                <c:pt idx="9">
                  <c:v>Armenia</c:v>
                </c:pt>
                <c:pt idx="10">
                  <c:v>Greece</c:v>
                </c:pt>
                <c:pt idx="11">
                  <c:v>Sudan</c:v>
                </c:pt>
              </c:strCache>
            </c:strRef>
          </c:cat>
          <c:val>
            <c:numRef>
              <c:f>Insights!$I$13:$I$24</c:f>
              <c:numCache>
                <c:formatCode>0%</c:formatCode>
                <c:ptCount val="12"/>
                <c:pt idx="0">
                  <c:v>0.28000000000000003</c:v>
                </c:pt>
                <c:pt idx="1">
                  <c:v>0.23</c:v>
                </c:pt>
                <c:pt idx="2">
                  <c:v>0.21</c:v>
                </c:pt>
                <c:pt idx="3">
                  <c:v>0.2</c:v>
                </c:pt>
                <c:pt idx="4">
                  <c:v>0.2</c:v>
                </c:pt>
                <c:pt idx="5">
                  <c:v>0.19</c:v>
                </c:pt>
                <c:pt idx="6">
                  <c:v>0.19</c:v>
                </c:pt>
                <c:pt idx="7">
                  <c:v>0.18</c:v>
                </c:pt>
                <c:pt idx="8">
                  <c:v>0.18</c:v>
                </c:pt>
                <c:pt idx="9">
                  <c:v>0.17</c:v>
                </c:pt>
                <c:pt idx="10">
                  <c:v>0.17</c:v>
                </c:pt>
                <c:pt idx="11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AB-4C24-9DDB-8E5E1D7A6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90526528"/>
        <c:axId val="1602679952"/>
      </c:barChart>
      <c:catAx>
        <c:axId val="17905265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a-IR"/>
          </a:p>
        </c:txPr>
        <c:crossAx val="1602679952"/>
        <c:crosses val="autoZero"/>
        <c:auto val="1"/>
        <c:lblAlgn val="ctr"/>
        <c:lblOffset val="100"/>
        <c:noMultiLvlLbl val="0"/>
      </c:catAx>
      <c:valAx>
        <c:axId val="1602679952"/>
        <c:scaling>
          <c:orientation val="minMax"/>
        </c:scaling>
        <c:delete val="0"/>
        <c:axPos val="t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a-IR"/>
          </a:p>
        </c:txPr>
        <c:crossAx val="179052652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a-I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33</xdr:row>
      <xdr:rowOff>182881</xdr:rowOff>
    </xdr:from>
    <xdr:to>
      <xdr:col>5</xdr:col>
      <xdr:colOff>754380</xdr:colOff>
      <xdr:row>50</xdr:row>
      <xdr:rowOff>179295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6D36E1-DA94-CE78-B1D5-B48A9CFB0B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750570</xdr:colOff>
      <xdr:row>33</xdr:row>
      <xdr:rowOff>182880</xdr:rowOff>
    </xdr:from>
    <xdr:to>
      <xdr:col>10</xdr:col>
      <xdr:colOff>1009650</xdr:colOff>
      <xdr:row>50</xdr:row>
      <xdr:rowOff>170543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32AFF2-6469-A8EF-3EAB-12A5EEBF00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12</v>
    <v>0</v>
  </rv>
  <rv s="0">
    <v>9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A1C9D7-962B-47E3-ACAB-6210099A1A03}" name="tblCountriesRaw" displayName="tblCountriesRaw" ref="A1:I196" totalsRowShown="0" headerRowDxfId="9" dataDxfId="8">
  <autoFilter ref="A1:I196" xr:uid="{97A1C9D7-962B-47E3-ACAB-6210099A1A03}"/>
  <tableColumns count="9">
    <tableColumn id="1" xr3:uid="{F8A7E9F7-0F7C-415C-A655-FAAA002FE7FB}" name="index" dataDxfId="18"/>
    <tableColumn id="2" xr3:uid="{C435ACAB-69C7-49B0-9490-8386783D8DBF}" name="country" dataDxfId="17"/>
    <tableColumn id="3" xr3:uid="{5DA69647-5E76-4584-B7C5-71A0274303D3}" name="Abbreviation" dataDxfId="16"/>
    <tableColumn id="4" xr3:uid="{C5BF4CEC-1B30-40EF-9492-F861BE850588}" name="Area" dataDxfId="15"/>
    <tableColumn id="5" xr3:uid="{8BC95401-05C0-47AA-BC31-E25E536201AE}" name="Calling code" dataDxfId="14"/>
    <tableColumn id="6" xr3:uid="{C59C4FDF-5301-4FDF-BAD9-AE5212FED5E4}" name="Capital/Major City" dataDxfId="13"/>
    <tableColumn id="7" xr3:uid="{DB174DEF-D1EC-4FD9-867E-30BAD2F2187E}" name="GDP" dataDxfId="12"/>
    <tableColumn id="8" xr3:uid="{590ABE78-5055-42E7-9F39-4FD65B5328B3}" name="Population" dataDxfId="11"/>
    <tableColumn id="9" xr3:uid="{49129EF8-B1E1-4F68-B86D-F8281BAB7E83}" name="Unemployment rate" dataDxfId="10" dataCellStyle="Percent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AF3058-7C2E-414B-8690-18E18A8ABA81}" name="tblCorrections" displayName="tblCorrections" ref="O1:T8" totalsRowShown="0" headerRowDxfId="35" dataDxfId="34">
  <autoFilter ref="O1:T8" xr:uid="{59AF3058-7C2E-414B-8690-18E18A8ABA81}"/>
  <tableColumns count="6">
    <tableColumn id="1" xr3:uid="{8BC0E738-EA30-45AA-9188-5A482E796B13}" name="Record_ID" dataDxfId="41"/>
    <tableColumn id="2" xr3:uid="{68E903C3-5299-46BF-9DD8-E2387CF93B4C}" name="Country" dataDxfId="40"/>
    <tableColumn id="3" xr3:uid="{F7DFB001-6F6A-437C-AEAB-D6ADCD9CB1A0}" name="Field" dataDxfId="39"/>
    <tableColumn id="4" xr3:uid="{0367EB77-F650-482F-B68D-611C82687076}" name="Corrected_Value" dataDxfId="38"/>
    <tableColumn id="5" xr3:uid="{32BFB2AC-6F9B-4F03-8E9C-4E6D49B7B6E7}" name="Source_URL" dataDxfId="37"/>
    <tableColumn id="6" xr3:uid="{D58B7E5E-27F3-4D1D-9D8C-8839B93BD968}" name="Reason" dataDxfId="3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0EED4B-2E43-4191-847D-468BD56EB01A}" name="tblCountriesClean" displayName="tblCountriesClean" ref="A1:M196" totalsRowShown="0" headerRowDxfId="20" dataDxfId="19">
  <autoFilter ref="A1:M196" xr:uid="{720EED4B-2E43-4191-847D-468BD56EB01A}"/>
  <tableColumns count="13">
    <tableColumn id="1" xr3:uid="{ABD7538A-D5F1-41F4-B174-394E2403A587}" name="Record_ID" dataDxfId="33"/>
    <tableColumn id="2" xr3:uid="{3F6BCFF7-F60D-40CC-B250-58ED4A009D9F}" name="Country" dataDxfId="32">
      <calculatedColumnFormula>_xlfn.XLOOKUP(tblCountriesClean[[#This Row],[Record_ID]],tblCountriesRaw[index],tblCountriesRaw[country],"Check")</calculatedColumnFormula>
    </tableColumn>
    <tableColumn id="3" xr3:uid="{0FEE6791-4FE8-42D8-8982-F6055C6C2862}" name="ISO2_Code" dataDxfId="31">
      <calculatedColumnFormula array="1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calculatedColumnFormula>
    </tableColumn>
    <tableColumn id="4" xr3:uid="{006B30DD-B8A2-4E37-96F4-35C88DF058B7}" name="Area_km2" dataDxfId="30">
      <calculatedColumnFormula array="1">_xlfn.IFNA(--_xlfn.XLOOKUP(1,(tblCorrections[Record_ID]=tblCountriesClean[[#This Row],[Record_ID]])*(tblCorrections[Field]="Area_km2"),tblCorrections[Corrected_Value]),_xlfn.XLOOKUP(tblCountriesClean[[#This Row],[Record_ID]],tblCountriesRaw[index],tblCountriesRaw[Area],""))</calculatedColumnFormula>
    </tableColumn>
    <tableColumn id="5" xr3:uid="{46DDD8F6-ADEE-497E-8BAD-07D5A6A4083E}" name="Calling_Code" dataDxfId="29">
      <calculatedColumnFormula array="1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calculatedColumnFormula>
    </tableColumn>
    <tableColumn id="6" xr3:uid="{A3A856D2-0B36-484A-AB55-D1F88D507D03}" name="Capital" dataDxfId="28">
      <calculatedColumnFormula array="1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calculatedColumnFormula>
    </tableColumn>
    <tableColumn id="7" xr3:uid="{7026B008-82CD-49BB-B3E7-E353A2835CCB}" name="GDP_USD" dataDxfId="27">
      <calculatedColumnFormula array="1">_xlfn.IFNA(--_xlfn.XLOOKUP(1,(tblCorrections[Record_ID]=tblCountriesClean[[#This Row],[Record_ID]])*(tblCorrections[Field]="GDP_USD"),tblCorrections[Corrected_Value]),_xlfn.XLOOKUP(tblCountriesClean[[#This Row],[Record_ID]],tblCountriesRaw[index],tblCountriesRaw[GDP],""))</calculatedColumnFormula>
    </tableColumn>
    <tableColumn id="8" xr3:uid="{8E29C574-9C70-49FF-9C96-13EDB88198D5}" name="Population" dataDxfId="26">
      <calculatedColumnFormula array="1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calculatedColumnFormula>
    </tableColumn>
    <tableColumn id="9" xr3:uid="{26C95C49-EA0F-40B4-9C99-A9C1CD732645}" name="Unemployment_Rate" dataDxfId="25">
      <calculatedColumnFormula array="1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calculatedColumnFormula>
    </tableColumn>
    <tableColumn id="10" xr3:uid="{4AFDD36F-11EE-49D2-A0D6-F4AE896A6EE6}" name="GDP_Rank" dataDxfId="24">
      <calculatedColumnFormula>IF(tblCountriesClean[[#This Row],[Data_Quality_Status]]="CHECK","",1+COUNTIFS(tblCountriesClean[GDP_USD],"&gt;"&amp;tblCountriesClean[[#This Row],[GDP_USD]],tblCountriesClean[Data_Quality_Status],"&lt;&gt;CHECK"))</calculatedColumnFormula>
    </tableColumn>
    <tableColumn id="11" xr3:uid="{4FB015D7-3E9F-45F5-9AF9-CCB28F3C1BDF}" name="GDP_per_Capita" dataDxfId="23">
      <calculatedColumnFormula>IF(tblCountriesClean[[#This Row],[Data_Quality_Status]]="CHECK","",IFERROR(tblCountriesClean[[#This Row],[GDP_USD]]/tblCountriesClean[[#This Row],[Population]],""))</calculatedColumnFormula>
    </tableColumn>
    <tableColumn id="12" xr3:uid="{B83EEB7F-ABA9-4461-A912-2E2D9031D955}" name="Population_Density" dataDxfId="22">
      <calculatedColumnFormula>IF(tblCountriesClean[[#This Row],[Data_Quality_Status]]="CHECK","",IFERROR(tblCountriesClean[[#This Row],[Population]]/tblCountriesClean[[#This Row],[Area_km2]],""))</calculatedColumnFormula>
    </tableColumn>
    <tableColumn id="13" xr3:uid="{7AA99D98-7DBB-4133-9703-ED3BC292F4E5}" name="Data_Quality_Status" dataDxfId="21">
      <calculatedColumnFormula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MY Purpl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7C3AED"/>
      </a:accent1>
      <a:accent2>
        <a:srgbClr val="A78BFA"/>
      </a:accent2>
      <a:accent3>
        <a:srgbClr val="DDD6FE"/>
      </a:accent3>
      <a:accent4>
        <a:srgbClr val="4C1D95"/>
      </a:accent4>
      <a:accent5>
        <a:srgbClr val="F8F3EA"/>
      </a:accent5>
      <a:accent6>
        <a:srgbClr val="334155"/>
      </a:accent6>
      <a:hlink>
        <a:srgbClr val="7C3AED"/>
      </a:hlink>
      <a:folHlink>
        <a:srgbClr val="4C1D95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https://data.worldbank.org/indicator/AG.SRF.TOTL.K2?locations=LK" TargetMode="External"/><Relationship Id="rId1" Type="http://schemas.openxmlformats.org/officeDocument/2006/relationships/hyperlink" Target="https://2009-2017.state.gov/outofdate/bgn/kiribati/102981.htm" TargetMode="External"/><Relationship Id="rId4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63DC-67E7-4636-B269-AB66F5F52E0F}">
  <dimension ref="A1:I196"/>
  <sheetViews>
    <sheetView showGridLines="0" zoomScale="69" zoomScaleNormal="69" workbookViewId="0">
      <pane ySplit="1" topLeftCell="A2" activePane="bottomLeft" state="frozen"/>
      <selection pane="bottomLeft" sqref="A1:XFD1048576"/>
    </sheetView>
  </sheetViews>
  <sheetFormatPr defaultColWidth="0" defaultRowHeight="15.6"/>
  <cols>
    <col min="1" max="1" width="10.5" style="36" customWidth="1"/>
    <col min="2" max="2" width="31.125" style="36" customWidth="1"/>
    <col min="3" max="3" width="20.25" style="36" customWidth="1"/>
    <col min="4" max="4" width="15.125" style="37" bestFit="1" customWidth="1"/>
    <col min="5" max="5" width="24.125" style="36" bestFit="1" customWidth="1"/>
    <col min="6" max="6" width="32.875" style="36" bestFit="1" customWidth="1"/>
    <col min="7" max="7" width="25.125" style="41" bestFit="1" customWidth="1"/>
    <col min="8" max="8" width="20.25" style="37" bestFit="1" customWidth="1"/>
    <col min="9" max="9" width="29.5" style="42" bestFit="1" customWidth="1"/>
    <col min="10" max="16384" width="9" style="43" hidden="1"/>
  </cols>
  <sheetData>
    <row r="1" spans="1:9">
      <c r="A1" s="36" t="s">
        <v>0</v>
      </c>
      <c r="B1" s="36" t="s">
        <v>1</v>
      </c>
      <c r="C1" s="36" t="s">
        <v>2</v>
      </c>
      <c r="D1" s="37" t="s">
        <v>3</v>
      </c>
      <c r="E1" s="36" t="s">
        <v>4</v>
      </c>
      <c r="F1" s="36" t="s">
        <v>5</v>
      </c>
      <c r="G1" s="41" t="s">
        <v>6</v>
      </c>
      <c r="H1" s="37" t="s">
        <v>7</v>
      </c>
      <c r="I1" s="42" t="s">
        <v>8</v>
      </c>
    </row>
    <row r="2" spans="1:9">
      <c r="A2" s="36">
        <v>1</v>
      </c>
      <c r="B2" s="36" t="s">
        <v>9</v>
      </c>
      <c r="C2" s="36" t="s">
        <v>10</v>
      </c>
      <c r="D2" s="37">
        <v>652230</v>
      </c>
      <c r="E2" s="36">
        <v>93</v>
      </c>
      <c r="F2" s="36" t="s">
        <v>11</v>
      </c>
      <c r="G2" s="41">
        <v>19101353833</v>
      </c>
      <c r="H2" s="37">
        <v>41128771</v>
      </c>
      <c r="I2" s="42">
        <v>0.11</v>
      </c>
    </row>
    <row r="3" spans="1:9">
      <c r="A3" s="36">
        <v>2</v>
      </c>
      <c r="B3" s="36" t="s">
        <v>12</v>
      </c>
      <c r="C3" s="36" t="s">
        <v>13</v>
      </c>
      <c r="D3" s="37">
        <v>28748</v>
      </c>
      <c r="E3" s="36">
        <v>355</v>
      </c>
      <c r="F3" s="36" t="s">
        <v>14</v>
      </c>
      <c r="G3" s="41">
        <v>15278077447</v>
      </c>
      <c r="H3" s="37">
        <v>2775634</v>
      </c>
      <c r="I3" s="42">
        <v>0.12</v>
      </c>
    </row>
    <row r="4" spans="1:9">
      <c r="A4" s="36">
        <v>3</v>
      </c>
      <c r="B4" s="36" t="s">
        <v>15</v>
      </c>
      <c r="C4" s="36" t="s">
        <v>16</v>
      </c>
      <c r="D4" s="37">
        <v>2381741</v>
      </c>
      <c r="E4" s="36">
        <v>213</v>
      </c>
      <c r="F4" s="36" t="s">
        <v>17</v>
      </c>
      <c r="G4" s="41">
        <v>169988236398</v>
      </c>
      <c r="H4" s="37">
        <v>44903225</v>
      </c>
      <c r="I4" s="42">
        <v>0.12</v>
      </c>
    </row>
    <row r="5" spans="1:9">
      <c r="A5" s="36">
        <v>4</v>
      </c>
      <c r="B5" s="36" t="s">
        <v>18</v>
      </c>
      <c r="C5" s="36" t="s">
        <v>19</v>
      </c>
      <c r="D5" s="37">
        <v>468</v>
      </c>
      <c r="E5" s="36">
        <v>376</v>
      </c>
      <c r="F5" s="36" t="s">
        <v>20</v>
      </c>
      <c r="G5" s="41">
        <v>3154057987</v>
      </c>
      <c r="H5" s="37">
        <v>79824</v>
      </c>
      <c r="I5" s="42">
        <v>0.1</v>
      </c>
    </row>
    <row r="6" spans="1:9">
      <c r="A6" s="36">
        <v>5</v>
      </c>
      <c r="B6" s="36" t="s">
        <v>21</v>
      </c>
      <c r="C6" s="36" t="s">
        <v>22</v>
      </c>
      <c r="D6" s="37">
        <v>1246700</v>
      </c>
      <c r="E6" s="36">
        <v>244</v>
      </c>
      <c r="F6" s="36" t="s">
        <v>23</v>
      </c>
      <c r="G6" s="41">
        <v>94635415870</v>
      </c>
      <c r="H6" s="37">
        <v>35588987</v>
      </c>
      <c r="I6" s="42">
        <v>7.0000000000000007E-2</v>
      </c>
    </row>
    <row r="7" spans="1:9">
      <c r="A7" s="36">
        <v>6</v>
      </c>
      <c r="B7" s="36" t="s">
        <v>24</v>
      </c>
      <c r="C7" s="36" t="s">
        <v>25</v>
      </c>
      <c r="D7" s="37">
        <v>440</v>
      </c>
      <c r="E7" s="36">
        <v>1268</v>
      </c>
      <c r="F7" s="36" t="s">
        <v>26</v>
      </c>
      <c r="G7" s="41">
        <v>1727759259</v>
      </c>
      <c r="H7" s="37">
        <v>93763</v>
      </c>
      <c r="I7" s="42">
        <v>0.02</v>
      </c>
    </row>
    <row r="8" spans="1:9">
      <c r="A8" s="36">
        <v>7</v>
      </c>
      <c r="B8" s="36" t="s">
        <v>27</v>
      </c>
      <c r="C8" s="36" t="s">
        <v>28</v>
      </c>
      <c r="D8" s="37">
        <v>2780400</v>
      </c>
      <c r="E8" s="36">
        <v>54</v>
      </c>
      <c r="F8" s="36" t="s">
        <v>29</v>
      </c>
      <c r="G8" s="41">
        <v>449663446954</v>
      </c>
      <c r="H8" s="37">
        <v>46234830</v>
      </c>
      <c r="I8" s="42">
        <v>0.1</v>
      </c>
    </row>
    <row r="9" spans="1:9">
      <c r="A9" s="36">
        <v>8</v>
      </c>
      <c r="B9" s="36" t="s">
        <v>30</v>
      </c>
      <c r="C9" s="36" t="s">
        <v>31</v>
      </c>
      <c r="D9" s="37">
        <v>29743</v>
      </c>
      <c r="E9" s="36">
        <v>374</v>
      </c>
      <c r="F9" s="36" t="s">
        <v>32</v>
      </c>
      <c r="G9" s="41">
        <v>13672802158</v>
      </c>
      <c r="H9" s="37">
        <v>2780469</v>
      </c>
      <c r="I9" s="42">
        <v>0.17</v>
      </c>
    </row>
    <row r="10" spans="1:9">
      <c r="A10" s="36">
        <v>9</v>
      </c>
      <c r="B10" s="36" t="s">
        <v>33</v>
      </c>
      <c r="C10" s="36" t="s">
        <v>34</v>
      </c>
      <c r="D10" s="37">
        <v>7692024</v>
      </c>
      <c r="E10" s="36">
        <v>61</v>
      </c>
      <c r="F10" s="36" t="s">
        <v>35</v>
      </c>
      <c r="G10" s="41">
        <v>1392680589329</v>
      </c>
      <c r="H10" s="37">
        <v>25978935</v>
      </c>
      <c r="I10" s="42">
        <v>0.05</v>
      </c>
    </row>
    <row r="11" spans="1:9">
      <c r="A11" s="36">
        <v>10</v>
      </c>
      <c r="B11" s="36" t="s">
        <v>36</v>
      </c>
      <c r="C11" s="36" t="s">
        <v>37</v>
      </c>
      <c r="D11" s="37">
        <v>83879</v>
      </c>
      <c r="E11" s="36">
        <v>43</v>
      </c>
      <c r="F11" s="36" t="s">
        <v>38</v>
      </c>
      <c r="G11" s="41">
        <v>446314739528</v>
      </c>
      <c r="H11" s="37">
        <v>9042528</v>
      </c>
      <c r="I11" s="42">
        <v>0.05</v>
      </c>
    </row>
    <row r="12" spans="1:9">
      <c r="A12" s="36">
        <v>11</v>
      </c>
      <c r="B12" s="36" t="s">
        <v>39</v>
      </c>
      <c r="C12" s="36" t="s">
        <v>40</v>
      </c>
      <c r="D12" s="37">
        <v>86600</v>
      </c>
      <c r="E12" s="36">
        <v>994</v>
      </c>
      <c r="F12" s="36" t="s">
        <v>41</v>
      </c>
      <c r="G12" s="41">
        <v>39207000000</v>
      </c>
      <c r="H12" s="37">
        <v>10175016</v>
      </c>
      <c r="I12" s="42">
        <v>0.06</v>
      </c>
    </row>
    <row r="13" spans="1:9">
      <c r="A13" s="36">
        <v>12</v>
      </c>
      <c r="B13" s="36" t="s">
        <v>42</v>
      </c>
      <c r="C13" s="36" t="s">
        <v>43</v>
      </c>
      <c r="D13" s="37">
        <v>13878</v>
      </c>
      <c r="E13" s="36">
        <v>1242</v>
      </c>
      <c r="F13" s="36" t="s">
        <v>44</v>
      </c>
      <c r="G13" s="41">
        <v>12827000000</v>
      </c>
      <c r="H13" s="37">
        <v>409984</v>
      </c>
      <c r="I13" s="42">
        <v>0.1</v>
      </c>
    </row>
    <row r="14" spans="1:9">
      <c r="A14" s="36">
        <v>13</v>
      </c>
      <c r="B14" s="36" t="s">
        <v>45</v>
      </c>
      <c r="C14" s="36" t="s">
        <v>46</v>
      </c>
      <c r="D14" s="37">
        <v>787</v>
      </c>
      <c r="E14" s="36">
        <v>973</v>
      </c>
      <c r="F14" s="36" t="s">
        <v>47</v>
      </c>
      <c r="G14" s="41">
        <v>38574069149</v>
      </c>
      <c r="H14" s="37">
        <v>1472233</v>
      </c>
      <c r="I14" s="42">
        <v>0.01</v>
      </c>
    </row>
    <row r="15" spans="1:9">
      <c r="A15" s="36">
        <v>14</v>
      </c>
      <c r="B15" s="36" t="s">
        <v>48</v>
      </c>
      <c r="C15" s="36" t="s">
        <v>49</v>
      </c>
      <c r="D15" s="37">
        <v>147570</v>
      </c>
      <c r="E15" s="36">
        <v>880</v>
      </c>
      <c r="F15" s="36" t="s">
        <v>50</v>
      </c>
      <c r="G15" s="41">
        <v>302571254131</v>
      </c>
      <c r="H15" s="37">
        <v>171186372</v>
      </c>
      <c r="I15" s="42">
        <v>0.04</v>
      </c>
    </row>
    <row r="16" spans="1:9">
      <c r="A16" s="36">
        <v>15</v>
      </c>
      <c r="B16" s="36" t="s">
        <v>51</v>
      </c>
      <c r="C16" s="36" t="s">
        <v>52</v>
      </c>
      <c r="D16" s="37">
        <v>439</v>
      </c>
      <c r="E16" s="36">
        <v>1246</v>
      </c>
      <c r="F16" s="36" t="s">
        <v>53</v>
      </c>
      <c r="G16" s="41">
        <v>5209000000</v>
      </c>
      <c r="H16" s="37">
        <v>281635</v>
      </c>
      <c r="I16" s="42">
        <v>0.1</v>
      </c>
    </row>
    <row r="17" spans="1:9">
      <c r="A17" s="36">
        <v>16</v>
      </c>
      <c r="B17" s="36" t="s">
        <v>54</v>
      </c>
      <c r="C17" s="36" t="s">
        <v>55</v>
      </c>
      <c r="D17" s="37">
        <v>207595</v>
      </c>
      <c r="E17" s="36">
        <v>375</v>
      </c>
      <c r="F17" s="36" t="s">
        <v>56</v>
      </c>
      <c r="G17" s="41">
        <v>63080457023</v>
      </c>
      <c r="H17" s="37">
        <v>9208701</v>
      </c>
      <c r="I17" s="42">
        <v>0.05</v>
      </c>
    </row>
    <row r="18" spans="1:9">
      <c r="A18" s="36">
        <v>17</v>
      </c>
      <c r="B18" s="36" t="s">
        <v>57</v>
      </c>
      <c r="C18" s="36" t="s">
        <v>58</v>
      </c>
      <c r="D18" s="37">
        <v>30688</v>
      </c>
      <c r="E18" s="36">
        <v>32</v>
      </c>
      <c r="F18" s="36" t="s">
        <v>59</v>
      </c>
      <c r="G18" s="41">
        <v>529606710418</v>
      </c>
      <c r="H18" s="37">
        <v>11669446</v>
      </c>
      <c r="I18" s="42">
        <v>0.06</v>
      </c>
    </row>
    <row r="19" spans="1:9">
      <c r="A19" s="36">
        <v>18</v>
      </c>
      <c r="B19" s="36" t="s">
        <v>60</v>
      </c>
      <c r="C19" s="36" t="s">
        <v>61</v>
      </c>
      <c r="D19" s="37">
        <v>22966</v>
      </c>
      <c r="E19" s="36">
        <v>501</v>
      </c>
      <c r="F19" s="36" t="s">
        <v>62</v>
      </c>
      <c r="G19" s="41">
        <v>1879613600</v>
      </c>
      <c r="H19" s="37">
        <v>405272</v>
      </c>
      <c r="I19" s="42">
        <v>0.06</v>
      </c>
    </row>
    <row r="20" spans="1:9">
      <c r="A20" s="36">
        <v>19</v>
      </c>
      <c r="B20" s="36" t="s">
        <v>63</v>
      </c>
      <c r="C20" s="36" t="s">
        <v>64</v>
      </c>
      <c r="D20" s="37">
        <v>114763</v>
      </c>
      <c r="E20" s="36">
        <v>229</v>
      </c>
      <c r="F20" s="36" t="s">
        <v>65</v>
      </c>
      <c r="G20" s="41">
        <v>14390709095</v>
      </c>
      <c r="H20" s="37">
        <v>13352864</v>
      </c>
      <c r="I20" s="42">
        <v>0.02</v>
      </c>
    </row>
    <row r="21" spans="1:9">
      <c r="A21" s="36">
        <v>20</v>
      </c>
      <c r="B21" s="36" t="s">
        <v>66</v>
      </c>
      <c r="C21" s="36" t="s">
        <v>67</v>
      </c>
      <c r="D21" s="37">
        <v>38394</v>
      </c>
      <c r="E21" s="36">
        <v>975</v>
      </c>
      <c r="F21" s="36" t="s">
        <v>68</v>
      </c>
      <c r="G21" s="41">
        <v>2446674101</v>
      </c>
      <c r="H21" s="37">
        <v>782455</v>
      </c>
      <c r="I21" s="42">
        <v>0.02</v>
      </c>
    </row>
    <row r="22" spans="1:9">
      <c r="A22" s="36">
        <v>21</v>
      </c>
      <c r="B22" s="36" t="s">
        <v>69</v>
      </c>
      <c r="C22" s="36" t="s">
        <v>70</v>
      </c>
      <c r="D22" s="37">
        <v>1098581</v>
      </c>
      <c r="E22" s="36">
        <v>591</v>
      </c>
      <c r="F22" s="36" t="s">
        <v>71</v>
      </c>
      <c r="G22" s="41">
        <v>40895322865</v>
      </c>
      <c r="H22" s="37">
        <v>12224110</v>
      </c>
      <c r="I22" s="42">
        <v>0.03</v>
      </c>
    </row>
    <row r="23" spans="1:9">
      <c r="A23" s="36">
        <v>22</v>
      </c>
      <c r="B23" s="36" t="s">
        <v>72</v>
      </c>
      <c r="C23" s="36" t="s">
        <v>73</v>
      </c>
      <c r="D23" s="37">
        <v>51197</v>
      </c>
      <c r="E23" s="36">
        <v>387</v>
      </c>
      <c r="F23" s="36" t="s">
        <v>74</v>
      </c>
      <c r="G23" s="41">
        <v>20047848435</v>
      </c>
      <c r="H23" s="37">
        <v>3233526</v>
      </c>
      <c r="I23" s="42">
        <v>0.18</v>
      </c>
    </row>
    <row r="24" spans="1:9">
      <c r="A24" s="36">
        <v>23</v>
      </c>
      <c r="B24" s="36" t="s">
        <v>75</v>
      </c>
      <c r="C24" s="36" t="s">
        <v>76</v>
      </c>
      <c r="D24" s="37">
        <v>581737</v>
      </c>
      <c r="E24" s="36">
        <v>267</v>
      </c>
      <c r="F24" s="36" t="s">
        <v>77</v>
      </c>
      <c r="G24" s="41">
        <v>18340510789</v>
      </c>
      <c r="H24" s="37">
        <v>2630296</v>
      </c>
      <c r="I24" s="42">
        <v>0.18</v>
      </c>
    </row>
    <row r="25" spans="1:9">
      <c r="A25" s="36">
        <v>24</v>
      </c>
      <c r="B25" s="36" t="s">
        <v>78</v>
      </c>
      <c r="C25" s="36" t="s">
        <v>79</v>
      </c>
      <c r="D25" s="37">
        <v>8515767</v>
      </c>
      <c r="E25" s="36">
        <v>55</v>
      </c>
      <c r="F25" s="36" t="s">
        <v>80</v>
      </c>
      <c r="G25" s="41">
        <v>1839758040766</v>
      </c>
      <c r="H25" s="37">
        <v>215313498</v>
      </c>
      <c r="I25" s="42">
        <v>0.12</v>
      </c>
    </row>
    <row r="26" spans="1:9">
      <c r="A26" s="36">
        <v>25</v>
      </c>
      <c r="B26" s="36" t="s">
        <v>81</v>
      </c>
      <c r="C26" s="36" t="s">
        <v>82</v>
      </c>
      <c r="D26" s="37">
        <v>5765</v>
      </c>
      <c r="E26" s="36">
        <v>673</v>
      </c>
      <c r="F26" s="36" t="s">
        <v>83</v>
      </c>
      <c r="G26" s="41">
        <v>13469422941</v>
      </c>
      <c r="H26" s="37">
        <v>449002</v>
      </c>
      <c r="I26" s="42">
        <v>0.09</v>
      </c>
    </row>
    <row r="27" spans="1:9">
      <c r="A27" s="36">
        <v>26</v>
      </c>
      <c r="B27" s="36" t="s">
        <v>84</v>
      </c>
      <c r="C27" s="36" t="s">
        <v>85</v>
      </c>
      <c r="D27" s="37">
        <v>110994</v>
      </c>
      <c r="E27" s="36">
        <v>359</v>
      </c>
      <c r="F27" s="36" t="s">
        <v>86</v>
      </c>
      <c r="G27" s="41">
        <v>86000000000</v>
      </c>
      <c r="H27" s="37">
        <v>6465097</v>
      </c>
      <c r="I27" s="42">
        <v>0.04</v>
      </c>
    </row>
    <row r="28" spans="1:9">
      <c r="A28" s="36">
        <v>27</v>
      </c>
      <c r="B28" s="36" t="s">
        <v>87</v>
      </c>
      <c r="C28" s="36" t="s">
        <v>88</v>
      </c>
      <c r="D28" s="37">
        <v>274200</v>
      </c>
      <c r="E28" s="36">
        <v>226</v>
      </c>
      <c r="F28" s="36" t="s">
        <v>89</v>
      </c>
      <c r="G28" s="41">
        <v>15745810235</v>
      </c>
      <c r="H28" s="37">
        <v>22673762</v>
      </c>
      <c r="I28" s="42">
        <v>0.06</v>
      </c>
    </row>
    <row r="29" spans="1:9">
      <c r="A29" s="36">
        <v>28</v>
      </c>
      <c r="B29" s="36" t="s">
        <v>90</v>
      </c>
      <c r="C29" s="36" t="s">
        <v>91</v>
      </c>
      <c r="D29" s="37">
        <v>27834</v>
      </c>
      <c r="E29" s="36">
        <v>257</v>
      </c>
      <c r="F29" s="36" t="s">
        <v>92</v>
      </c>
      <c r="G29" s="41">
        <v>3012334882</v>
      </c>
      <c r="H29" s="37">
        <v>12889576</v>
      </c>
      <c r="I29" s="42">
        <v>0.01</v>
      </c>
    </row>
    <row r="30" spans="1:9">
      <c r="A30" s="36">
        <v>29</v>
      </c>
      <c r="B30" s="36" t="s">
        <v>93</v>
      </c>
      <c r="C30" s="36" t="s">
        <v>94</v>
      </c>
      <c r="D30" s="37">
        <v>4033</v>
      </c>
      <c r="E30" s="36">
        <v>238</v>
      </c>
      <c r="F30" s="36" t="s">
        <v>95</v>
      </c>
      <c r="G30" s="41">
        <v>1981845741</v>
      </c>
      <c r="H30" s="37">
        <v>593149</v>
      </c>
      <c r="I30" s="42">
        <v>0.12</v>
      </c>
    </row>
    <row r="31" spans="1:9">
      <c r="A31" s="36">
        <v>30</v>
      </c>
      <c r="B31" s="36" t="s">
        <v>96</v>
      </c>
      <c r="C31" s="36" t="s">
        <v>97</v>
      </c>
      <c r="D31" s="37">
        <v>181035</v>
      </c>
      <c r="E31" s="36">
        <v>855</v>
      </c>
      <c r="F31" s="36" t="s">
        <v>98</v>
      </c>
      <c r="G31" s="41">
        <v>27089389787</v>
      </c>
      <c r="H31" s="37">
        <v>16767842</v>
      </c>
      <c r="I31" s="42">
        <v>0.01</v>
      </c>
    </row>
    <row r="32" spans="1:9">
      <c r="A32" s="36">
        <v>31</v>
      </c>
      <c r="B32" s="36" t="s">
        <v>99</v>
      </c>
      <c r="C32" s="36" t="s">
        <v>100</v>
      </c>
      <c r="D32" s="37">
        <v>475442</v>
      </c>
      <c r="E32" s="36">
        <v>237</v>
      </c>
      <c r="F32" s="36" t="s">
        <v>101</v>
      </c>
      <c r="G32" s="41">
        <v>38760467033</v>
      </c>
      <c r="H32" s="37">
        <v>27914536</v>
      </c>
      <c r="I32" s="42">
        <v>0.03</v>
      </c>
    </row>
    <row r="33" spans="1:9">
      <c r="A33" s="36">
        <v>32</v>
      </c>
      <c r="B33" s="36" t="s">
        <v>102</v>
      </c>
      <c r="C33" s="36" t="s">
        <v>103</v>
      </c>
      <c r="D33" s="37">
        <v>9984670</v>
      </c>
      <c r="E33" s="36">
        <v>1</v>
      </c>
      <c r="F33" s="36" t="s">
        <v>104</v>
      </c>
      <c r="G33" s="41">
        <v>1736425629520</v>
      </c>
      <c r="H33" s="37">
        <v>38929902</v>
      </c>
      <c r="I33" s="42">
        <v>0.06</v>
      </c>
    </row>
    <row r="34" spans="1:9">
      <c r="A34" s="36">
        <v>33</v>
      </c>
      <c r="B34" s="36" t="s">
        <v>105</v>
      </c>
      <c r="C34" s="36" t="s">
        <v>106</v>
      </c>
      <c r="D34" s="37">
        <v>622984</v>
      </c>
      <c r="E34" s="36">
        <v>236</v>
      </c>
      <c r="F34" s="36" t="s">
        <v>107</v>
      </c>
      <c r="G34" s="41">
        <v>2220307369</v>
      </c>
      <c r="H34" s="37">
        <v>5579144</v>
      </c>
      <c r="I34" s="42">
        <v>0.04</v>
      </c>
    </row>
    <row r="35" spans="1:9">
      <c r="A35" s="36">
        <v>34</v>
      </c>
      <c r="B35" s="36" t="s">
        <v>108</v>
      </c>
      <c r="C35" s="36" t="s">
        <v>109</v>
      </c>
      <c r="D35" s="37">
        <v>1284000</v>
      </c>
      <c r="E35" s="36">
        <v>235</v>
      </c>
      <c r="F35" s="36" t="s">
        <v>110</v>
      </c>
      <c r="G35" s="41">
        <v>11314951343</v>
      </c>
      <c r="H35" s="37">
        <v>17723315</v>
      </c>
      <c r="I35" s="42">
        <v>0.02</v>
      </c>
    </row>
    <row r="36" spans="1:9">
      <c r="A36" s="36">
        <v>35</v>
      </c>
      <c r="B36" s="36" t="s">
        <v>111</v>
      </c>
      <c r="C36" s="36" t="s">
        <v>112</v>
      </c>
      <c r="D36" s="37">
        <v>756102</v>
      </c>
      <c r="E36" s="36">
        <v>56</v>
      </c>
      <c r="F36" s="36" t="s">
        <v>113</v>
      </c>
      <c r="G36" s="41">
        <v>282318159745</v>
      </c>
      <c r="H36" s="37">
        <v>19603733</v>
      </c>
      <c r="I36" s="42">
        <v>7.0000000000000007E-2</v>
      </c>
    </row>
    <row r="37" spans="1:9">
      <c r="A37" s="36">
        <v>36</v>
      </c>
      <c r="B37" s="36" t="s">
        <v>114</v>
      </c>
      <c r="C37" s="36" t="s">
        <v>115</v>
      </c>
      <c r="D37" s="37">
        <v>9596961</v>
      </c>
      <c r="E37" s="36">
        <v>86</v>
      </c>
      <c r="F37" s="36" t="s">
        <v>116</v>
      </c>
      <c r="G37" s="41">
        <v>19910000000000</v>
      </c>
      <c r="H37" s="37">
        <v>1412175000</v>
      </c>
      <c r="I37" s="42">
        <v>0.04</v>
      </c>
    </row>
    <row r="38" spans="1:9">
      <c r="A38" s="36">
        <v>37</v>
      </c>
      <c r="B38" s="36" t="s">
        <v>117</v>
      </c>
      <c r="C38" s="36" t="s">
        <v>118</v>
      </c>
      <c r="D38" s="37">
        <v>1141748</v>
      </c>
      <c r="E38" s="36">
        <v>57</v>
      </c>
      <c r="F38" s="36" t="s">
        <v>119</v>
      </c>
      <c r="G38" s="41">
        <v>323802808108</v>
      </c>
      <c r="H38" s="37">
        <v>51874024</v>
      </c>
      <c r="I38" s="42">
        <v>0.1</v>
      </c>
    </row>
    <row r="39" spans="1:9">
      <c r="A39" s="36">
        <v>38</v>
      </c>
      <c r="B39" s="36" t="s">
        <v>120</v>
      </c>
      <c r="C39" s="36" t="s">
        <v>121</v>
      </c>
      <c r="D39" s="37">
        <v>2034</v>
      </c>
      <c r="E39" s="36">
        <v>269</v>
      </c>
      <c r="F39" s="36" t="s">
        <v>122</v>
      </c>
      <c r="G39" s="41">
        <v>1185728677</v>
      </c>
      <c r="H39" s="37">
        <v>836774</v>
      </c>
      <c r="I39" s="42">
        <v>0.04</v>
      </c>
    </row>
    <row r="40" spans="1:9">
      <c r="A40" s="36">
        <v>39</v>
      </c>
      <c r="B40" s="36" t="s">
        <v>123</v>
      </c>
      <c r="C40" s="36" t="e" vm="1">
        <v>#VALUE!</v>
      </c>
      <c r="D40" s="37">
        <v>342000</v>
      </c>
      <c r="E40" s="36">
        <v>242</v>
      </c>
      <c r="F40" s="36" t="s">
        <v>124</v>
      </c>
      <c r="G40" s="41">
        <v>10820591131</v>
      </c>
      <c r="H40" s="37">
        <v>5970424</v>
      </c>
      <c r="I40" s="42">
        <v>0.09</v>
      </c>
    </row>
    <row r="41" spans="1:9">
      <c r="A41" s="36">
        <v>40</v>
      </c>
      <c r="B41" s="36" t="s">
        <v>125</v>
      </c>
      <c r="C41" s="36" t="s">
        <v>126</v>
      </c>
      <c r="D41" s="37">
        <v>51180</v>
      </c>
      <c r="E41" s="36">
        <v>506</v>
      </c>
      <c r="F41" s="36" t="s">
        <v>127</v>
      </c>
      <c r="G41" s="41">
        <v>61773944174</v>
      </c>
      <c r="H41" s="37">
        <v>5180829</v>
      </c>
      <c r="I41" s="42">
        <v>0.12</v>
      </c>
    </row>
    <row r="42" spans="1:9">
      <c r="A42" s="36">
        <v>41</v>
      </c>
      <c r="B42" s="36" t="s">
        <v>128</v>
      </c>
      <c r="C42" s="36" t="s">
        <v>129</v>
      </c>
      <c r="D42" s="37">
        <v>56594</v>
      </c>
      <c r="E42" s="36">
        <v>385</v>
      </c>
      <c r="F42" s="36" t="s">
        <v>130</v>
      </c>
      <c r="G42" s="41">
        <v>60415553039</v>
      </c>
      <c r="H42" s="37">
        <v>3854000</v>
      </c>
      <c r="I42" s="42">
        <v>7.0000000000000007E-2</v>
      </c>
    </row>
    <row r="43" spans="1:9">
      <c r="A43" s="36">
        <v>42</v>
      </c>
      <c r="B43" s="36" t="s">
        <v>131</v>
      </c>
      <c r="C43" s="36" t="s">
        <v>132</v>
      </c>
      <c r="D43" s="37">
        <v>109884</v>
      </c>
      <c r="E43" s="36">
        <v>53</v>
      </c>
      <c r="F43" s="36" t="s">
        <v>133</v>
      </c>
      <c r="G43" s="41">
        <v>100023000000</v>
      </c>
      <c r="H43" s="37">
        <v>11212191</v>
      </c>
      <c r="I43" s="42">
        <v>0.02</v>
      </c>
    </row>
    <row r="44" spans="1:9">
      <c r="A44" s="36">
        <v>43</v>
      </c>
      <c r="B44" s="36" t="s">
        <v>134</v>
      </c>
      <c r="C44" s="36" t="s">
        <v>135</v>
      </c>
      <c r="D44" s="37">
        <v>9242</v>
      </c>
      <c r="E44" s="36">
        <v>357</v>
      </c>
      <c r="F44" s="36" t="s">
        <v>136</v>
      </c>
      <c r="G44" s="41">
        <v>24564647935</v>
      </c>
      <c r="H44" s="37">
        <v>1251488</v>
      </c>
      <c r="I44" s="42">
        <v>7.0000000000000007E-2</v>
      </c>
    </row>
    <row r="45" spans="1:9">
      <c r="A45" s="36">
        <v>44</v>
      </c>
      <c r="B45" s="36" t="s">
        <v>137</v>
      </c>
      <c r="C45" s="36" t="s">
        <v>138</v>
      </c>
      <c r="D45" s="37">
        <v>78866</v>
      </c>
      <c r="E45" s="36">
        <v>420</v>
      </c>
      <c r="F45" s="36" t="s">
        <v>139</v>
      </c>
      <c r="G45" s="41">
        <v>246489245495</v>
      </c>
      <c r="H45" s="37">
        <v>10526073</v>
      </c>
      <c r="I45" s="42">
        <v>0.02</v>
      </c>
    </row>
    <row r="46" spans="1:9">
      <c r="A46" s="36">
        <v>45</v>
      </c>
      <c r="B46" s="36" t="s">
        <v>140</v>
      </c>
      <c r="C46" s="36" t="s">
        <v>141</v>
      </c>
      <c r="D46" s="37">
        <v>2344858</v>
      </c>
      <c r="E46" s="36">
        <v>243</v>
      </c>
      <c r="F46" s="36" t="s">
        <v>142</v>
      </c>
      <c r="G46" s="41">
        <v>47319624204</v>
      </c>
      <c r="H46" s="37">
        <v>95894118</v>
      </c>
      <c r="I46" s="42">
        <v>0.04</v>
      </c>
    </row>
    <row r="47" spans="1:9">
      <c r="A47" s="36">
        <v>46</v>
      </c>
      <c r="B47" s="36" t="s">
        <v>143</v>
      </c>
      <c r="C47" s="36" t="s">
        <v>144</v>
      </c>
      <c r="D47" s="37">
        <v>42925</v>
      </c>
      <c r="E47" s="36">
        <v>45</v>
      </c>
      <c r="F47" s="36" t="s">
        <v>145</v>
      </c>
      <c r="G47" s="41">
        <v>348078018464</v>
      </c>
      <c r="H47" s="37">
        <v>5903037</v>
      </c>
      <c r="I47" s="42">
        <v>0.05</v>
      </c>
    </row>
    <row r="48" spans="1:9">
      <c r="A48" s="36">
        <v>47</v>
      </c>
      <c r="B48" s="36" t="s">
        <v>146</v>
      </c>
      <c r="C48" s="36" t="s">
        <v>147</v>
      </c>
      <c r="D48" s="37">
        <v>23200</v>
      </c>
      <c r="E48" s="36">
        <v>253</v>
      </c>
      <c r="F48" s="36" t="s">
        <v>148</v>
      </c>
      <c r="G48" s="41">
        <v>3318716359</v>
      </c>
      <c r="H48" s="37">
        <v>1120849</v>
      </c>
      <c r="I48" s="42">
        <v>0.1</v>
      </c>
    </row>
    <row r="49" spans="1:9">
      <c r="A49" s="36">
        <v>48</v>
      </c>
      <c r="B49" s="36" t="s">
        <v>149</v>
      </c>
      <c r="C49" s="36" t="s">
        <v>150</v>
      </c>
      <c r="D49" s="37">
        <v>751</v>
      </c>
      <c r="E49" s="36">
        <v>1767</v>
      </c>
      <c r="F49" s="36" t="s">
        <v>151</v>
      </c>
      <c r="G49" s="41">
        <v>596033333</v>
      </c>
      <c r="H49" s="37">
        <v>72737</v>
      </c>
      <c r="I49" s="42">
        <v>0.02</v>
      </c>
    </row>
    <row r="50" spans="1:9">
      <c r="A50" s="36">
        <v>49</v>
      </c>
      <c r="B50" s="36" t="s">
        <v>152</v>
      </c>
      <c r="C50" s="36" t="s">
        <v>153</v>
      </c>
      <c r="D50" s="37">
        <v>48671</v>
      </c>
      <c r="E50" s="36">
        <v>1809</v>
      </c>
      <c r="F50" s="36" t="s">
        <v>154</v>
      </c>
      <c r="G50" s="41">
        <v>88941298258</v>
      </c>
      <c r="H50" s="37">
        <v>11228821</v>
      </c>
      <c r="I50" s="42">
        <v>0.06</v>
      </c>
    </row>
    <row r="51" spans="1:9">
      <c r="A51" s="36">
        <v>50</v>
      </c>
      <c r="B51" s="36" t="s">
        <v>155</v>
      </c>
      <c r="C51" s="36" t="s">
        <v>156</v>
      </c>
      <c r="D51" s="37">
        <v>257204</v>
      </c>
      <c r="E51" s="36">
        <v>593</v>
      </c>
      <c r="F51" s="36" t="s">
        <v>157</v>
      </c>
      <c r="G51" s="41">
        <v>107435665000</v>
      </c>
      <c r="H51" s="37">
        <v>18001000</v>
      </c>
      <c r="I51" s="42">
        <v>0.04</v>
      </c>
    </row>
    <row r="52" spans="1:9">
      <c r="A52" s="36">
        <v>51</v>
      </c>
      <c r="B52" s="36" t="s">
        <v>158</v>
      </c>
      <c r="C52" s="36" t="s">
        <v>159</v>
      </c>
      <c r="D52" s="37">
        <v>1010408</v>
      </c>
      <c r="E52" s="36">
        <v>20</v>
      </c>
      <c r="F52" s="36" t="s">
        <v>160</v>
      </c>
      <c r="G52" s="41">
        <v>303175127598</v>
      </c>
      <c r="H52" s="37">
        <v>110990103</v>
      </c>
      <c r="I52" s="42">
        <v>0.11</v>
      </c>
    </row>
    <row r="53" spans="1:9">
      <c r="A53" s="36">
        <v>52</v>
      </c>
      <c r="B53" s="36" t="s">
        <v>161</v>
      </c>
      <c r="C53" s="36" t="s">
        <v>162</v>
      </c>
      <c r="D53" s="37">
        <v>20742</v>
      </c>
      <c r="E53" s="36">
        <v>503</v>
      </c>
      <c r="F53" s="36" t="s">
        <v>163</v>
      </c>
      <c r="G53" s="41">
        <v>27022640000</v>
      </c>
      <c r="H53" s="37">
        <v>6336392</v>
      </c>
      <c r="I53" s="42">
        <v>0.04</v>
      </c>
    </row>
    <row r="54" spans="1:9">
      <c r="A54" s="36">
        <v>53</v>
      </c>
      <c r="B54" s="36" t="s">
        <v>164</v>
      </c>
      <c r="C54" s="36" t="s">
        <v>165</v>
      </c>
      <c r="D54" s="37">
        <v>28051</v>
      </c>
      <c r="E54" s="36">
        <v>240</v>
      </c>
      <c r="F54" s="36" t="s">
        <v>166</v>
      </c>
      <c r="G54" s="41">
        <v>11026774945</v>
      </c>
      <c r="H54" s="37">
        <v>1674908</v>
      </c>
      <c r="I54" s="42">
        <v>0.06</v>
      </c>
    </row>
    <row r="55" spans="1:9">
      <c r="A55" s="36">
        <v>54</v>
      </c>
      <c r="B55" s="36" t="s">
        <v>167</v>
      </c>
      <c r="C55" s="36" t="s">
        <v>168</v>
      </c>
      <c r="D55" s="37">
        <v>117600</v>
      </c>
      <c r="E55" s="36">
        <v>291</v>
      </c>
      <c r="F55" s="36" t="s">
        <v>169</v>
      </c>
      <c r="G55" s="41">
        <v>2065001626</v>
      </c>
      <c r="H55" s="37">
        <v>3684032</v>
      </c>
      <c r="I55" s="42">
        <v>0.05</v>
      </c>
    </row>
    <row r="56" spans="1:9">
      <c r="A56" s="36">
        <v>55</v>
      </c>
      <c r="B56" s="36" t="s">
        <v>170</v>
      </c>
      <c r="C56" s="36" t="s">
        <v>171</v>
      </c>
      <c r="D56" s="37">
        <v>45335</v>
      </c>
      <c r="E56" s="36">
        <v>372</v>
      </c>
      <c r="F56" s="36" t="s">
        <v>172</v>
      </c>
      <c r="G56" s="41">
        <v>31386949981</v>
      </c>
      <c r="H56" s="37">
        <v>1344768</v>
      </c>
      <c r="I56" s="42">
        <v>0.05</v>
      </c>
    </row>
    <row r="57" spans="1:9">
      <c r="A57" s="36">
        <v>56</v>
      </c>
      <c r="B57" s="36" t="s">
        <v>173</v>
      </c>
      <c r="C57" s="36" t="s">
        <v>171</v>
      </c>
      <c r="D57" s="37">
        <v>17364</v>
      </c>
      <c r="E57" s="36">
        <v>268</v>
      </c>
      <c r="F57" s="36" t="s">
        <v>174</v>
      </c>
      <c r="G57" s="41">
        <v>3791304348</v>
      </c>
      <c r="H57" s="37">
        <v>1201670</v>
      </c>
      <c r="I57" s="42">
        <v>0.02</v>
      </c>
    </row>
    <row r="58" spans="1:9">
      <c r="A58" s="36">
        <v>57</v>
      </c>
      <c r="B58" s="36" t="s">
        <v>175</v>
      </c>
      <c r="C58" s="36" t="s">
        <v>176</v>
      </c>
      <c r="D58" s="37">
        <v>1104300</v>
      </c>
      <c r="E58" s="36">
        <v>251</v>
      </c>
      <c r="F58" s="36" t="s">
        <v>177</v>
      </c>
      <c r="G58" s="41">
        <v>96107662398</v>
      </c>
      <c r="H58" s="37">
        <v>123379924</v>
      </c>
      <c r="I58" s="42">
        <v>0.02</v>
      </c>
    </row>
    <row r="59" spans="1:9">
      <c r="A59" s="36">
        <v>58</v>
      </c>
      <c r="B59" s="36" t="s">
        <v>178</v>
      </c>
      <c r="C59" s="36" t="s">
        <v>179</v>
      </c>
      <c r="D59" s="37">
        <v>18274</v>
      </c>
      <c r="E59" s="36">
        <v>679</v>
      </c>
      <c r="F59" s="36" t="s">
        <v>180</v>
      </c>
      <c r="G59" s="41">
        <v>5535548972</v>
      </c>
      <c r="H59" s="37">
        <v>929766</v>
      </c>
      <c r="I59" s="42">
        <v>0.04</v>
      </c>
    </row>
    <row r="60" spans="1:9">
      <c r="A60" s="36">
        <v>59</v>
      </c>
      <c r="B60" s="36" t="s">
        <v>181</v>
      </c>
      <c r="C60" s="36" t="s">
        <v>182</v>
      </c>
      <c r="D60" s="37">
        <v>338478</v>
      </c>
      <c r="E60" s="36">
        <v>358</v>
      </c>
      <c r="F60" s="36" t="s">
        <v>183</v>
      </c>
      <c r="G60" s="41">
        <v>268761201365</v>
      </c>
      <c r="H60" s="37">
        <v>5556880</v>
      </c>
      <c r="I60" s="42">
        <v>7.0000000000000007E-2</v>
      </c>
    </row>
    <row r="61" spans="1:9">
      <c r="A61" s="36">
        <v>60</v>
      </c>
      <c r="B61" s="36" t="s">
        <v>184</v>
      </c>
      <c r="C61" s="36" t="s">
        <v>185</v>
      </c>
      <c r="D61" s="37">
        <v>643801</v>
      </c>
      <c r="E61" s="36">
        <v>33</v>
      </c>
      <c r="F61" s="36" t="s">
        <v>186</v>
      </c>
      <c r="G61" s="41">
        <v>2715518274227</v>
      </c>
      <c r="H61" s="37">
        <v>67749632</v>
      </c>
      <c r="I61" s="42">
        <v>0.08</v>
      </c>
    </row>
    <row r="62" spans="1:9">
      <c r="A62" s="36">
        <v>61</v>
      </c>
      <c r="B62" s="36" t="s">
        <v>187</v>
      </c>
      <c r="C62" s="36" t="s">
        <v>188</v>
      </c>
      <c r="D62" s="37">
        <v>267667</v>
      </c>
      <c r="E62" s="36">
        <v>241</v>
      </c>
      <c r="F62" s="36" t="s">
        <v>189</v>
      </c>
      <c r="G62" s="41">
        <v>16657960228</v>
      </c>
      <c r="H62" s="37">
        <v>2388992</v>
      </c>
      <c r="I62" s="42">
        <v>0.2</v>
      </c>
    </row>
    <row r="63" spans="1:9">
      <c r="A63" s="36">
        <v>62</v>
      </c>
      <c r="B63" s="36" t="s">
        <v>190</v>
      </c>
      <c r="C63" s="36" t="s">
        <v>191</v>
      </c>
      <c r="D63" s="37">
        <v>11300</v>
      </c>
      <c r="E63" s="36">
        <v>220</v>
      </c>
      <c r="F63" s="36" t="s">
        <v>192</v>
      </c>
      <c r="G63" s="41">
        <v>1763819048</v>
      </c>
      <c r="H63" s="37">
        <v>2705992</v>
      </c>
      <c r="I63" s="42">
        <v>0.09</v>
      </c>
    </row>
    <row r="64" spans="1:9">
      <c r="A64" s="36">
        <v>63</v>
      </c>
      <c r="B64" s="36" t="s">
        <v>193</v>
      </c>
      <c r="C64" s="36" t="s">
        <v>194</v>
      </c>
      <c r="D64" s="37">
        <v>69700</v>
      </c>
      <c r="E64" s="36">
        <v>995</v>
      </c>
      <c r="F64" s="36" t="s">
        <v>195</v>
      </c>
      <c r="G64" s="41">
        <v>17743195770</v>
      </c>
      <c r="H64" s="37">
        <v>3712502</v>
      </c>
      <c r="I64" s="42">
        <v>0.14000000000000001</v>
      </c>
    </row>
    <row r="65" spans="1:9">
      <c r="A65" s="36">
        <v>64</v>
      </c>
      <c r="B65" s="36" t="s">
        <v>196</v>
      </c>
      <c r="C65" s="36" t="s">
        <v>197</v>
      </c>
      <c r="D65" s="37">
        <v>357588</v>
      </c>
      <c r="E65" s="36">
        <v>49</v>
      </c>
      <c r="F65" s="36" t="s">
        <v>198</v>
      </c>
      <c r="G65" s="41">
        <v>3845630030824</v>
      </c>
      <c r="H65" s="37">
        <v>84079811</v>
      </c>
      <c r="I65" s="42">
        <v>0.03</v>
      </c>
    </row>
    <row r="66" spans="1:9">
      <c r="A66" s="36">
        <v>65</v>
      </c>
      <c r="B66" s="36" t="s">
        <v>199</v>
      </c>
      <c r="C66" s="36" t="s">
        <v>200</v>
      </c>
      <c r="D66" s="37">
        <v>238535</v>
      </c>
      <c r="E66" s="36">
        <v>233</v>
      </c>
      <c r="F66" s="36" t="s">
        <v>201</v>
      </c>
      <c r="G66" s="41">
        <v>66983634224</v>
      </c>
      <c r="H66" s="37">
        <v>33475870</v>
      </c>
      <c r="I66" s="42">
        <v>0.04</v>
      </c>
    </row>
    <row r="67" spans="1:9">
      <c r="A67" s="36">
        <v>66</v>
      </c>
      <c r="B67" s="36" t="s">
        <v>202</v>
      </c>
      <c r="C67" s="36" t="s">
        <v>203</v>
      </c>
      <c r="D67" s="37">
        <v>131957</v>
      </c>
      <c r="E67" s="36">
        <v>30</v>
      </c>
      <c r="F67" s="36" t="s">
        <v>204</v>
      </c>
      <c r="G67" s="41">
        <v>209852761469</v>
      </c>
      <c r="H67" s="37">
        <v>10566531</v>
      </c>
      <c r="I67" s="42">
        <v>0.17</v>
      </c>
    </row>
    <row r="68" spans="1:9">
      <c r="A68" s="36">
        <v>67</v>
      </c>
      <c r="B68" s="36" t="s">
        <v>205</v>
      </c>
      <c r="C68" s="36" t="s">
        <v>206</v>
      </c>
      <c r="D68" s="37">
        <v>349</v>
      </c>
      <c r="E68" s="36">
        <v>1473</v>
      </c>
      <c r="F68" s="36" t="s">
        <v>207</v>
      </c>
      <c r="G68" s="41">
        <v>1228170370</v>
      </c>
      <c r="H68" s="37">
        <v>125438</v>
      </c>
      <c r="I68" s="42">
        <v>0.02</v>
      </c>
    </row>
    <row r="69" spans="1:9">
      <c r="A69" s="36">
        <v>68</v>
      </c>
      <c r="B69" s="36" t="s">
        <v>208</v>
      </c>
      <c r="C69" s="36" t="s">
        <v>209</v>
      </c>
      <c r="D69" s="37">
        <v>108889</v>
      </c>
      <c r="E69" s="36">
        <v>502</v>
      </c>
      <c r="F69" s="36" t="s">
        <v>210</v>
      </c>
      <c r="G69" s="41">
        <v>76710385880</v>
      </c>
      <c r="H69" s="37">
        <v>17357886</v>
      </c>
      <c r="I69" s="42">
        <v>0.02</v>
      </c>
    </row>
    <row r="70" spans="1:9">
      <c r="A70" s="36">
        <v>69</v>
      </c>
      <c r="B70" s="36" t="s">
        <v>211</v>
      </c>
      <c r="C70" s="36" t="s">
        <v>212</v>
      </c>
      <c r="D70" s="37">
        <v>245857</v>
      </c>
      <c r="E70" s="36">
        <v>224</v>
      </c>
      <c r="F70" s="36" t="s">
        <v>213</v>
      </c>
      <c r="G70" s="41">
        <v>13590281809</v>
      </c>
      <c r="H70" s="37">
        <v>13859341</v>
      </c>
      <c r="I70" s="42">
        <v>0.04</v>
      </c>
    </row>
    <row r="71" spans="1:9">
      <c r="A71" s="36">
        <v>70</v>
      </c>
      <c r="B71" s="36" t="s">
        <v>214</v>
      </c>
      <c r="C71" s="36" t="s">
        <v>215</v>
      </c>
      <c r="D71" s="37">
        <v>36125</v>
      </c>
      <c r="E71" s="36">
        <v>245</v>
      </c>
      <c r="F71" s="36" t="s">
        <v>216</v>
      </c>
      <c r="G71" s="41">
        <v>1340389411</v>
      </c>
      <c r="H71" s="37">
        <v>2105566</v>
      </c>
      <c r="I71" s="42">
        <v>0.02</v>
      </c>
    </row>
    <row r="72" spans="1:9">
      <c r="A72" s="36">
        <v>71</v>
      </c>
      <c r="B72" s="36" t="s">
        <v>217</v>
      </c>
      <c r="C72" s="36" t="s">
        <v>218</v>
      </c>
      <c r="D72" s="37">
        <v>214970</v>
      </c>
      <c r="E72" s="36">
        <v>592</v>
      </c>
      <c r="F72" s="36" t="s">
        <v>219</v>
      </c>
      <c r="G72" s="41">
        <v>4280443645</v>
      </c>
      <c r="H72" s="37">
        <v>808726</v>
      </c>
      <c r="I72" s="42">
        <v>0.12</v>
      </c>
    </row>
    <row r="73" spans="1:9">
      <c r="A73" s="36">
        <v>72</v>
      </c>
      <c r="B73" s="36" t="s">
        <v>220</v>
      </c>
      <c r="C73" s="36" t="s">
        <v>221</v>
      </c>
      <c r="D73" s="37">
        <v>27750</v>
      </c>
      <c r="E73" s="36">
        <v>509</v>
      </c>
      <c r="F73" s="36" t="s">
        <v>222</v>
      </c>
      <c r="G73" s="41">
        <v>8498981821</v>
      </c>
      <c r="H73" s="37">
        <v>11584996</v>
      </c>
      <c r="I73" s="42">
        <v>0.14000000000000001</v>
      </c>
    </row>
    <row r="74" spans="1:9">
      <c r="A74" s="36">
        <v>73</v>
      </c>
      <c r="B74" s="36" t="s">
        <v>223</v>
      </c>
      <c r="C74" s="36" t="s">
        <v>224</v>
      </c>
      <c r="D74" s="37">
        <v>112492</v>
      </c>
      <c r="E74" s="36">
        <v>504</v>
      </c>
      <c r="F74" s="36" t="s">
        <v>225</v>
      </c>
      <c r="G74" s="41">
        <v>25095395475</v>
      </c>
      <c r="H74" s="37">
        <v>10432860</v>
      </c>
      <c r="I74" s="42">
        <v>0.05</v>
      </c>
    </row>
    <row r="75" spans="1:9">
      <c r="A75" s="36">
        <v>74</v>
      </c>
      <c r="B75" s="36" t="s">
        <v>226</v>
      </c>
      <c r="C75" s="36" t="s">
        <v>227</v>
      </c>
      <c r="D75" s="37">
        <v>93011</v>
      </c>
      <c r="E75" s="36">
        <v>36</v>
      </c>
      <c r="F75" s="36" t="s">
        <v>228</v>
      </c>
      <c r="G75" s="41">
        <v>160967157504</v>
      </c>
      <c r="H75" s="37">
        <v>9683505</v>
      </c>
      <c r="I75" s="42">
        <v>0.03</v>
      </c>
    </row>
    <row r="76" spans="1:9">
      <c r="A76" s="36">
        <v>75</v>
      </c>
      <c r="B76" s="36" t="s">
        <v>229</v>
      </c>
      <c r="C76" s="36" t="s">
        <v>230</v>
      </c>
      <c r="D76" s="37">
        <v>103004</v>
      </c>
      <c r="E76" s="36">
        <v>354</v>
      </c>
      <c r="F76" s="36" t="s">
        <v>231</v>
      </c>
      <c r="G76" s="41">
        <v>24188035739</v>
      </c>
      <c r="H76" s="37">
        <v>381900</v>
      </c>
      <c r="I76" s="42">
        <v>0.03</v>
      </c>
    </row>
    <row r="77" spans="1:9">
      <c r="A77" s="36">
        <v>76</v>
      </c>
      <c r="B77" s="36" t="s">
        <v>232</v>
      </c>
      <c r="C77" s="36" t="s">
        <v>233</v>
      </c>
      <c r="D77" s="37">
        <v>3287263</v>
      </c>
      <c r="E77" s="36">
        <v>91</v>
      </c>
      <c r="F77" s="36" t="s">
        <v>234</v>
      </c>
      <c r="G77" s="41">
        <v>2611000000000</v>
      </c>
      <c r="H77" s="37">
        <v>1417173173</v>
      </c>
      <c r="I77" s="42">
        <v>0.05</v>
      </c>
    </row>
    <row r="78" spans="1:9">
      <c r="A78" s="36">
        <v>77</v>
      </c>
      <c r="B78" s="36" t="s">
        <v>235</v>
      </c>
      <c r="C78" s="36" t="s">
        <v>236</v>
      </c>
      <c r="D78" s="37">
        <v>1904570</v>
      </c>
      <c r="E78" s="36">
        <v>62</v>
      </c>
      <c r="F78" s="36" t="s">
        <v>237</v>
      </c>
      <c r="G78" s="41">
        <v>1119190780753</v>
      </c>
      <c r="H78" s="37">
        <v>275501339</v>
      </c>
      <c r="I78" s="42">
        <v>0.05</v>
      </c>
    </row>
    <row r="79" spans="1:9">
      <c r="A79" s="36">
        <v>78</v>
      </c>
      <c r="B79" s="36" t="s">
        <v>238</v>
      </c>
      <c r="C79" s="36" t="s">
        <v>239</v>
      </c>
      <c r="D79" s="37">
        <v>1648195</v>
      </c>
      <c r="E79" s="36">
        <v>98</v>
      </c>
      <c r="F79" s="36" t="s">
        <v>240</v>
      </c>
      <c r="G79" s="41">
        <v>445345282123</v>
      </c>
      <c r="H79" s="37">
        <v>88550570</v>
      </c>
      <c r="I79" s="42">
        <v>0.11</v>
      </c>
    </row>
    <row r="80" spans="1:9">
      <c r="A80" s="36">
        <v>79</v>
      </c>
      <c r="B80" s="36" t="s">
        <v>241</v>
      </c>
      <c r="C80" s="36" t="s">
        <v>242</v>
      </c>
      <c r="D80" s="37">
        <v>437072</v>
      </c>
      <c r="E80" s="36">
        <v>964</v>
      </c>
      <c r="F80" s="36" t="s">
        <v>243</v>
      </c>
      <c r="G80" s="41">
        <v>234094042939</v>
      </c>
      <c r="H80" s="37">
        <v>44496122</v>
      </c>
      <c r="I80" s="42">
        <v>0.13</v>
      </c>
    </row>
    <row r="81" spans="1:9">
      <c r="A81" s="36">
        <v>80</v>
      </c>
      <c r="B81" s="36" t="s">
        <v>244</v>
      </c>
      <c r="C81" s="36" t="e" vm="1">
        <v>#VALUE!</v>
      </c>
      <c r="D81" s="37">
        <v>69797</v>
      </c>
      <c r="E81" s="36">
        <v>353</v>
      </c>
      <c r="F81" s="36" t="s">
        <v>245</v>
      </c>
      <c r="G81" s="41">
        <v>388698711348</v>
      </c>
      <c r="H81" s="37">
        <v>5086988</v>
      </c>
      <c r="I81" s="42">
        <v>0.05</v>
      </c>
    </row>
    <row r="82" spans="1:9">
      <c r="A82" s="36">
        <v>81</v>
      </c>
      <c r="B82" s="36" t="s">
        <v>246</v>
      </c>
      <c r="C82" s="36" t="s">
        <v>247</v>
      </c>
      <c r="D82" s="37">
        <v>20770</v>
      </c>
      <c r="E82" s="36">
        <v>972</v>
      </c>
      <c r="F82" s="36" t="s">
        <v>248</v>
      </c>
      <c r="G82" s="41">
        <v>395098666122</v>
      </c>
      <c r="H82" s="37">
        <v>9550600</v>
      </c>
      <c r="I82" s="42">
        <v>0.04</v>
      </c>
    </row>
    <row r="83" spans="1:9">
      <c r="A83" s="36">
        <v>82</v>
      </c>
      <c r="B83" s="36" t="s">
        <v>249</v>
      </c>
      <c r="C83" s="36" t="s">
        <v>250</v>
      </c>
      <c r="D83" s="37">
        <v>302068</v>
      </c>
      <c r="E83" s="36">
        <v>39</v>
      </c>
      <c r="F83" s="36" t="s">
        <v>251</v>
      </c>
      <c r="G83" s="41">
        <v>2001244392042</v>
      </c>
      <c r="H83" s="37">
        <v>58856847</v>
      </c>
      <c r="I83" s="42">
        <v>0.1</v>
      </c>
    </row>
    <row r="84" spans="1:9">
      <c r="A84" s="36">
        <v>83</v>
      </c>
      <c r="B84" s="36" t="s">
        <v>252</v>
      </c>
      <c r="C84" s="36" t="s">
        <v>253</v>
      </c>
      <c r="D84" s="37">
        <v>322463</v>
      </c>
      <c r="E84" s="36">
        <v>225</v>
      </c>
      <c r="F84" s="36" t="s">
        <v>254</v>
      </c>
      <c r="G84" s="41">
        <v>58792205642</v>
      </c>
      <c r="H84" s="37">
        <v>28160542</v>
      </c>
      <c r="I84" s="42">
        <v>0.03</v>
      </c>
    </row>
    <row r="85" spans="1:9">
      <c r="A85" s="36">
        <v>84</v>
      </c>
      <c r="B85" s="36" t="s">
        <v>255</v>
      </c>
      <c r="C85" s="36" t="s">
        <v>256</v>
      </c>
      <c r="D85" s="37">
        <v>10992</v>
      </c>
      <c r="E85" s="36">
        <v>1876</v>
      </c>
      <c r="F85" s="36" t="s">
        <v>257</v>
      </c>
      <c r="G85" s="41">
        <v>16458071068</v>
      </c>
      <c r="H85" s="37">
        <v>2827377</v>
      </c>
      <c r="I85" s="42">
        <v>0.08</v>
      </c>
    </row>
    <row r="86" spans="1:9">
      <c r="A86" s="36">
        <v>85</v>
      </c>
      <c r="B86" s="36" t="s">
        <v>258</v>
      </c>
      <c r="C86" s="36" t="s">
        <v>259</v>
      </c>
      <c r="D86" s="37">
        <v>377972</v>
      </c>
      <c r="E86" s="36">
        <v>81</v>
      </c>
      <c r="F86" s="36" t="s">
        <v>260</v>
      </c>
      <c r="G86" s="41">
        <v>5081769542380</v>
      </c>
      <c r="H86" s="37">
        <v>125124989</v>
      </c>
      <c r="I86" s="42">
        <v>0.02</v>
      </c>
    </row>
    <row r="87" spans="1:9">
      <c r="A87" s="36">
        <v>86</v>
      </c>
      <c r="B87" s="36" t="s">
        <v>261</v>
      </c>
      <c r="C87" s="36" t="s">
        <v>262</v>
      </c>
      <c r="D87" s="37">
        <v>89341</v>
      </c>
      <c r="E87" s="36">
        <v>962</v>
      </c>
      <c r="F87" s="36" t="s">
        <v>263</v>
      </c>
      <c r="G87" s="41">
        <v>43743661972</v>
      </c>
      <c r="H87" s="37">
        <v>11285869</v>
      </c>
      <c r="I87" s="42">
        <v>0.15</v>
      </c>
    </row>
    <row r="88" spans="1:9">
      <c r="A88" s="36">
        <v>87</v>
      </c>
      <c r="B88" s="36" t="s">
        <v>264</v>
      </c>
      <c r="C88" s="36" t="s">
        <v>265</v>
      </c>
      <c r="D88" s="37">
        <v>2724900</v>
      </c>
      <c r="E88" s="36">
        <v>7</v>
      </c>
      <c r="F88" s="36" t="s">
        <v>266</v>
      </c>
      <c r="G88" s="41">
        <v>180161741180</v>
      </c>
      <c r="H88" s="37">
        <v>19621972</v>
      </c>
      <c r="I88" s="42">
        <v>0.05</v>
      </c>
    </row>
    <row r="89" spans="1:9">
      <c r="A89" s="36">
        <v>88</v>
      </c>
      <c r="B89" s="36" t="s">
        <v>267</v>
      </c>
      <c r="C89" s="36" t="s">
        <v>268</v>
      </c>
      <c r="D89" s="37">
        <v>581309</v>
      </c>
      <c r="E89" s="36">
        <v>254</v>
      </c>
      <c r="F89" s="36" t="s">
        <v>269</v>
      </c>
      <c r="G89" s="41">
        <v>95503088538</v>
      </c>
      <c r="H89" s="37">
        <v>54027487</v>
      </c>
      <c r="I89" s="42">
        <v>0.03</v>
      </c>
    </row>
    <row r="90" spans="1:9">
      <c r="A90" s="36">
        <v>89</v>
      </c>
      <c r="B90" s="36" t="s">
        <v>270</v>
      </c>
      <c r="C90" s="36" t="s">
        <v>271</v>
      </c>
      <c r="D90" s="37">
        <v>811</v>
      </c>
      <c r="E90" s="36">
        <v>686</v>
      </c>
      <c r="F90" s="36" t="e" vm="2">
        <v>#VALUE!</v>
      </c>
      <c r="G90" s="41">
        <v>194647202</v>
      </c>
      <c r="H90" s="37">
        <v>131232</v>
      </c>
      <c r="I90" s="42">
        <v>0.02</v>
      </c>
    </row>
    <row r="91" spans="1:9">
      <c r="A91" s="36">
        <v>90</v>
      </c>
      <c r="B91" s="36" t="s">
        <v>272</v>
      </c>
      <c r="C91" s="36" t="s">
        <v>273</v>
      </c>
      <c r="D91" s="37">
        <v>17818</v>
      </c>
      <c r="E91" s="36">
        <v>965</v>
      </c>
      <c r="F91" s="36" t="s">
        <v>274</v>
      </c>
      <c r="G91" s="41">
        <v>134761198946</v>
      </c>
      <c r="H91" s="37">
        <v>4268873</v>
      </c>
      <c r="I91" s="42">
        <v>0.02</v>
      </c>
    </row>
    <row r="92" spans="1:9">
      <c r="A92" s="36">
        <v>91</v>
      </c>
      <c r="B92" s="36" t="s">
        <v>275</v>
      </c>
      <c r="C92" s="36" t="s">
        <v>276</v>
      </c>
      <c r="D92" s="37">
        <v>199951</v>
      </c>
      <c r="E92" s="36">
        <v>996</v>
      </c>
      <c r="F92" s="36" t="s">
        <v>277</v>
      </c>
      <c r="G92" s="41">
        <v>8454619608</v>
      </c>
      <c r="H92" s="37">
        <v>6803300</v>
      </c>
      <c r="I92" s="42">
        <v>0.06</v>
      </c>
    </row>
    <row r="93" spans="1:9">
      <c r="A93" s="36">
        <v>92</v>
      </c>
      <c r="B93" s="36" t="s">
        <v>278</v>
      </c>
      <c r="C93" s="36" t="s">
        <v>279</v>
      </c>
      <c r="D93" s="37">
        <v>236800</v>
      </c>
      <c r="E93" s="36">
        <v>856</v>
      </c>
      <c r="F93" s="36" t="s">
        <v>280</v>
      </c>
      <c r="G93" s="41">
        <v>18173839128</v>
      </c>
      <c r="H93" s="37">
        <v>7529475</v>
      </c>
      <c r="I93" s="42">
        <v>0.01</v>
      </c>
    </row>
    <row r="94" spans="1:9">
      <c r="A94" s="36">
        <v>93</v>
      </c>
      <c r="B94" s="36" t="s">
        <v>281</v>
      </c>
      <c r="C94" s="36" t="s">
        <v>282</v>
      </c>
      <c r="D94" s="37">
        <v>64594</v>
      </c>
      <c r="E94" s="36">
        <v>371</v>
      </c>
      <c r="F94" s="36" t="s">
        <v>283</v>
      </c>
      <c r="G94" s="41">
        <v>34117202555</v>
      </c>
      <c r="H94" s="37">
        <v>1883379</v>
      </c>
      <c r="I94" s="42">
        <v>7.0000000000000007E-2</v>
      </c>
    </row>
    <row r="95" spans="1:9">
      <c r="A95" s="36">
        <v>94</v>
      </c>
      <c r="B95" s="36" t="s">
        <v>284</v>
      </c>
      <c r="C95" s="36" t="s">
        <v>285</v>
      </c>
      <c r="D95" s="37">
        <v>10452</v>
      </c>
      <c r="E95" s="36">
        <v>961</v>
      </c>
      <c r="F95" s="36" t="s">
        <v>286</v>
      </c>
      <c r="G95" s="41">
        <v>53367042272</v>
      </c>
      <c r="H95" s="37">
        <v>5489739</v>
      </c>
      <c r="I95" s="42">
        <v>0.06</v>
      </c>
    </row>
    <row r="96" spans="1:9">
      <c r="A96" s="36">
        <v>95</v>
      </c>
      <c r="B96" s="36" t="s">
        <v>287</v>
      </c>
      <c r="C96" s="36" t="s">
        <v>288</v>
      </c>
      <c r="D96" s="37">
        <v>30355</v>
      </c>
      <c r="E96" s="36">
        <v>266</v>
      </c>
      <c r="F96" s="36" t="s">
        <v>289</v>
      </c>
      <c r="G96" s="41">
        <v>2460072444</v>
      </c>
      <c r="H96" s="37">
        <v>2305825</v>
      </c>
      <c r="I96" s="42">
        <v>0.23</v>
      </c>
    </row>
    <row r="97" spans="1:9">
      <c r="A97" s="36">
        <v>96</v>
      </c>
      <c r="B97" s="36" t="s">
        <v>290</v>
      </c>
      <c r="C97" s="36" t="s">
        <v>291</v>
      </c>
      <c r="D97" s="37">
        <v>111369</v>
      </c>
      <c r="E97" s="36">
        <v>231</v>
      </c>
      <c r="F97" s="36" t="s">
        <v>292</v>
      </c>
      <c r="G97" s="41">
        <v>3070518100</v>
      </c>
      <c r="H97" s="37">
        <v>5302681</v>
      </c>
      <c r="I97" s="42">
        <v>0.03</v>
      </c>
    </row>
    <row r="98" spans="1:9">
      <c r="A98" s="36">
        <v>97</v>
      </c>
      <c r="B98" s="36" t="s">
        <v>293</v>
      </c>
      <c r="C98" s="36" t="s">
        <v>294</v>
      </c>
      <c r="D98" s="37">
        <v>1759541</v>
      </c>
      <c r="E98" s="36">
        <v>218</v>
      </c>
      <c r="F98" s="36" t="s">
        <v>295</v>
      </c>
      <c r="G98" s="41">
        <v>52076250948</v>
      </c>
      <c r="H98" s="37">
        <v>6812341</v>
      </c>
      <c r="I98" s="42">
        <v>0.19</v>
      </c>
    </row>
    <row r="99" spans="1:9">
      <c r="A99" s="36">
        <v>98</v>
      </c>
      <c r="B99" s="36" t="s">
        <v>296</v>
      </c>
      <c r="C99" s="36" t="s">
        <v>297</v>
      </c>
      <c r="D99" s="37">
        <v>160</v>
      </c>
      <c r="E99" s="36">
        <v>423</v>
      </c>
      <c r="F99" s="36" t="s">
        <v>298</v>
      </c>
      <c r="G99" s="41">
        <v>6552858739</v>
      </c>
      <c r="H99" s="37">
        <v>39327</v>
      </c>
      <c r="I99" s="42">
        <v>0.02</v>
      </c>
    </row>
    <row r="100" spans="1:9">
      <c r="A100" s="36">
        <v>99</v>
      </c>
      <c r="B100" s="36" t="s">
        <v>299</v>
      </c>
      <c r="C100" s="36" t="s">
        <v>300</v>
      </c>
      <c r="D100" s="37">
        <v>65300</v>
      </c>
      <c r="E100" s="36">
        <v>370</v>
      </c>
      <c r="F100" s="36" t="s">
        <v>301</v>
      </c>
      <c r="G100" s="41">
        <v>54219315600</v>
      </c>
      <c r="H100" s="37">
        <v>2833000</v>
      </c>
      <c r="I100" s="42">
        <v>0.06</v>
      </c>
    </row>
    <row r="101" spans="1:9">
      <c r="A101" s="36">
        <v>100</v>
      </c>
      <c r="B101" s="36" t="s">
        <v>302</v>
      </c>
      <c r="C101" s="36" t="s">
        <v>303</v>
      </c>
      <c r="D101" s="37">
        <v>2586</v>
      </c>
      <c r="E101" s="36">
        <v>352</v>
      </c>
      <c r="F101" s="36" t="s">
        <v>304</v>
      </c>
      <c r="G101" s="41">
        <v>71104919108</v>
      </c>
      <c r="H101" s="37">
        <v>650774</v>
      </c>
      <c r="I101" s="42">
        <v>0.05</v>
      </c>
    </row>
    <row r="102" spans="1:9">
      <c r="A102" s="36">
        <v>101</v>
      </c>
      <c r="B102" s="36" t="s">
        <v>305</v>
      </c>
      <c r="C102" s="36" t="s">
        <v>306</v>
      </c>
      <c r="D102" s="37">
        <v>587295</v>
      </c>
      <c r="E102" s="36">
        <v>261</v>
      </c>
      <c r="F102" s="36" t="s">
        <v>307</v>
      </c>
      <c r="G102" s="41">
        <v>14083906357</v>
      </c>
      <c r="H102" s="37">
        <v>29611714</v>
      </c>
      <c r="I102" s="42">
        <v>0.02</v>
      </c>
    </row>
    <row r="103" spans="1:9">
      <c r="A103" s="36">
        <v>102</v>
      </c>
      <c r="B103" s="36" t="s">
        <v>308</v>
      </c>
      <c r="C103" s="36" t="s">
        <v>309</v>
      </c>
      <c r="D103" s="37">
        <v>118484</v>
      </c>
      <c r="E103" s="36">
        <v>265</v>
      </c>
      <c r="F103" s="36" t="s">
        <v>310</v>
      </c>
      <c r="G103" s="41">
        <v>7666704427</v>
      </c>
      <c r="H103" s="37">
        <v>20405317</v>
      </c>
      <c r="I103" s="42">
        <v>0.06</v>
      </c>
    </row>
    <row r="104" spans="1:9">
      <c r="A104" s="36">
        <v>103</v>
      </c>
      <c r="B104" s="36" t="s">
        <v>311</v>
      </c>
      <c r="C104" s="36" t="s">
        <v>312</v>
      </c>
      <c r="D104" s="37">
        <v>330803</v>
      </c>
      <c r="E104" s="36">
        <v>60</v>
      </c>
      <c r="F104" s="36" t="s">
        <v>313</v>
      </c>
      <c r="G104" s="41">
        <v>364701517788</v>
      </c>
      <c r="H104" s="37">
        <v>33938221</v>
      </c>
      <c r="I104" s="42">
        <v>0.03</v>
      </c>
    </row>
    <row r="105" spans="1:9">
      <c r="A105" s="36">
        <v>104</v>
      </c>
      <c r="B105" s="36" t="s">
        <v>314</v>
      </c>
      <c r="C105" s="36" t="s">
        <v>315</v>
      </c>
      <c r="D105" s="37">
        <v>298</v>
      </c>
      <c r="E105" s="36">
        <v>960</v>
      </c>
      <c r="F105" s="36" t="s">
        <v>316</v>
      </c>
      <c r="G105" s="41">
        <v>5729248472</v>
      </c>
      <c r="H105" s="37">
        <v>523787</v>
      </c>
      <c r="I105" s="42">
        <v>0.06</v>
      </c>
    </row>
    <row r="106" spans="1:9">
      <c r="A106" s="36">
        <v>105</v>
      </c>
      <c r="B106" s="36" t="s">
        <v>317</v>
      </c>
      <c r="C106" s="36" t="s">
        <v>318</v>
      </c>
      <c r="D106" s="37">
        <v>1240192</v>
      </c>
      <c r="E106" s="36">
        <v>223</v>
      </c>
      <c r="F106" s="36" t="s">
        <v>319</v>
      </c>
      <c r="G106" s="41">
        <v>17510141171</v>
      </c>
      <c r="H106" s="37">
        <v>22593590</v>
      </c>
      <c r="I106" s="42">
        <v>7.0000000000000007E-2</v>
      </c>
    </row>
    <row r="107" spans="1:9">
      <c r="A107" s="36">
        <v>106</v>
      </c>
      <c r="B107" s="36" t="s">
        <v>320</v>
      </c>
      <c r="C107" s="36" t="s">
        <v>321</v>
      </c>
      <c r="D107" s="37">
        <v>316</v>
      </c>
      <c r="E107" s="36">
        <v>356</v>
      </c>
      <c r="F107" s="36" t="s">
        <v>322</v>
      </c>
      <c r="G107" s="41">
        <v>14786156563</v>
      </c>
      <c r="H107" s="37">
        <v>523417</v>
      </c>
      <c r="I107" s="42">
        <v>0.03</v>
      </c>
    </row>
    <row r="108" spans="1:9">
      <c r="A108" s="36">
        <v>107</v>
      </c>
      <c r="B108" s="36" t="s">
        <v>323</v>
      </c>
      <c r="C108" s="36" t="s">
        <v>324</v>
      </c>
      <c r="D108" s="37">
        <v>181</v>
      </c>
      <c r="E108" s="36">
        <v>692</v>
      </c>
      <c r="F108" s="36" t="s">
        <v>325</v>
      </c>
      <c r="G108" s="41">
        <v>221278000</v>
      </c>
      <c r="H108" s="37">
        <v>41569</v>
      </c>
      <c r="I108" s="42">
        <v>0.02</v>
      </c>
    </row>
    <row r="109" spans="1:9">
      <c r="A109" s="36">
        <v>108</v>
      </c>
      <c r="B109" s="36" t="s">
        <v>326</v>
      </c>
      <c r="C109" s="36" t="s">
        <v>327</v>
      </c>
      <c r="D109" s="37">
        <v>1030700</v>
      </c>
      <c r="E109" s="36">
        <v>222</v>
      </c>
      <c r="F109" s="36" t="s">
        <v>328</v>
      </c>
      <c r="G109" s="41">
        <v>7593752450</v>
      </c>
      <c r="H109" s="37">
        <v>4736139</v>
      </c>
      <c r="I109" s="42">
        <v>0.1</v>
      </c>
    </row>
    <row r="110" spans="1:9">
      <c r="A110" s="36">
        <v>109</v>
      </c>
      <c r="B110" s="36" t="s">
        <v>329</v>
      </c>
      <c r="C110" s="36" t="s">
        <v>330</v>
      </c>
      <c r="D110" s="37">
        <v>2040</v>
      </c>
      <c r="E110" s="36">
        <v>230</v>
      </c>
      <c r="F110" s="36" t="s">
        <v>331</v>
      </c>
      <c r="G110" s="41">
        <v>14180444557</v>
      </c>
      <c r="H110" s="37">
        <v>1262523</v>
      </c>
      <c r="I110" s="42">
        <v>7.0000000000000007E-2</v>
      </c>
    </row>
    <row r="111" spans="1:9">
      <c r="A111" s="36">
        <v>110</v>
      </c>
      <c r="B111" s="36" t="s">
        <v>332</v>
      </c>
      <c r="C111" s="36" t="s">
        <v>333</v>
      </c>
      <c r="D111" s="37">
        <v>1972550</v>
      </c>
      <c r="E111" s="36">
        <v>52</v>
      </c>
      <c r="F111" s="36" t="s">
        <v>334</v>
      </c>
      <c r="G111" s="41">
        <v>1258286717125</v>
      </c>
      <c r="H111" s="37">
        <v>127504125</v>
      </c>
      <c r="I111" s="42">
        <v>0.03</v>
      </c>
    </row>
    <row r="112" spans="1:9">
      <c r="A112" s="36">
        <v>111</v>
      </c>
      <c r="B112" s="36" t="s">
        <v>335</v>
      </c>
      <c r="C112" s="36" t="s">
        <v>336</v>
      </c>
      <c r="D112" s="37">
        <v>702</v>
      </c>
      <c r="E112" s="36">
        <v>691</v>
      </c>
      <c r="F112" s="36" t="s">
        <v>337</v>
      </c>
      <c r="G112" s="41">
        <v>401932279</v>
      </c>
      <c r="H112" s="37">
        <v>114164</v>
      </c>
      <c r="I112" s="42">
        <v>0.02</v>
      </c>
    </row>
    <row r="113" spans="1:9">
      <c r="A113" s="36">
        <v>112</v>
      </c>
      <c r="B113" s="36" t="s">
        <v>338</v>
      </c>
      <c r="C113" s="36" t="s">
        <v>339</v>
      </c>
      <c r="D113" s="37">
        <v>33844</v>
      </c>
      <c r="E113" s="36">
        <v>373</v>
      </c>
      <c r="F113" s="36" t="s">
        <v>340</v>
      </c>
      <c r="G113" s="41">
        <v>11955435457</v>
      </c>
      <c r="H113" s="37">
        <v>2592477</v>
      </c>
      <c r="I113" s="42">
        <v>0.05</v>
      </c>
    </row>
    <row r="114" spans="1:9">
      <c r="A114" s="36">
        <v>113</v>
      </c>
      <c r="B114" s="36" t="s">
        <v>341</v>
      </c>
      <c r="C114" s="36" t="s">
        <v>342</v>
      </c>
      <c r="D114" s="37">
        <v>2</v>
      </c>
      <c r="E114" s="36">
        <v>377</v>
      </c>
      <c r="F114" s="36" t="s">
        <v>343</v>
      </c>
      <c r="G114" s="41">
        <v>7184844193</v>
      </c>
      <c r="H114" s="37">
        <v>36469</v>
      </c>
      <c r="I114" s="42">
        <v>0.02</v>
      </c>
    </row>
    <row r="115" spans="1:9">
      <c r="A115" s="36">
        <v>114</v>
      </c>
      <c r="B115" s="36" t="s">
        <v>344</v>
      </c>
      <c r="C115" s="36" t="s">
        <v>345</v>
      </c>
      <c r="D115" s="37">
        <v>1564116</v>
      </c>
      <c r="E115" s="36">
        <v>976</v>
      </c>
      <c r="F115" s="36" t="s">
        <v>346</v>
      </c>
      <c r="G115" s="41">
        <v>13852850259</v>
      </c>
      <c r="H115" s="37">
        <v>3398366</v>
      </c>
      <c r="I115" s="42">
        <v>0.06</v>
      </c>
    </row>
    <row r="116" spans="1:9">
      <c r="A116" s="36">
        <v>115</v>
      </c>
      <c r="B116" s="36" t="s">
        <v>347</v>
      </c>
      <c r="C116" s="36" t="s">
        <v>348</v>
      </c>
      <c r="D116" s="37">
        <v>13883</v>
      </c>
      <c r="E116" s="36">
        <v>382</v>
      </c>
      <c r="F116" s="36" t="s">
        <v>349</v>
      </c>
      <c r="G116" s="41">
        <v>5494736901</v>
      </c>
      <c r="H116" s="37">
        <v>616159</v>
      </c>
      <c r="I116" s="42">
        <v>0.15</v>
      </c>
    </row>
    <row r="117" spans="1:9">
      <c r="A117" s="36">
        <v>116</v>
      </c>
      <c r="B117" s="36" t="s">
        <v>350</v>
      </c>
      <c r="C117" s="36" t="s">
        <v>351</v>
      </c>
      <c r="D117" s="37">
        <v>446550</v>
      </c>
      <c r="E117" s="36">
        <v>212</v>
      </c>
      <c r="F117" s="36" t="s">
        <v>352</v>
      </c>
      <c r="G117" s="41">
        <v>118725279596</v>
      </c>
      <c r="H117" s="37">
        <v>37457971</v>
      </c>
      <c r="I117" s="42">
        <v>0.09</v>
      </c>
    </row>
    <row r="118" spans="1:9">
      <c r="A118" s="36">
        <v>117</v>
      </c>
      <c r="B118" s="36" t="s">
        <v>353</v>
      </c>
      <c r="C118" s="36" t="s">
        <v>354</v>
      </c>
      <c r="D118" s="37">
        <v>801590</v>
      </c>
      <c r="E118" s="36">
        <v>258</v>
      </c>
      <c r="F118" s="36" t="s">
        <v>355</v>
      </c>
      <c r="G118" s="41">
        <v>14934159926</v>
      </c>
      <c r="H118" s="37">
        <v>32969518</v>
      </c>
      <c r="I118" s="42">
        <v>0.03</v>
      </c>
    </row>
    <row r="119" spans="1:9">
      <c r="A119" s="36">
        <v>118</v>
      </c>
      <c r="B119" s="36" t="s">
        <v>356</v>
      </c>
      <c r="C119" s="36" t="s">
        <v>357</v>
      </c>
      <c r="D119" s="37">
        <v>676577</v>
      </c>
      <c r="E119" s="36">
        <v>95</v>
      </c>
      <c r="F119" s="36" t="s">
        <v>358</v>
      </c>
      <c r="G119" s="41">
        <v>76085852617</v>
      </c>
      <c r="H119" s="37">
        <v>54179306</v>
      </c>
      <c r="I119" s="42">
        <v>0.02</v>
      </c>
    </row>
    <row r="120" spans="1:9">
      <c r="A120" s="36">
        <v>119</v>
      </c>
      <c r="B120" s="36" t="s">
        <v>359</v>
      </c>
      <c r="C120" s="36" t="s">
        <v>360</v>
      </c>
      <c r="D120" s="37">
        <v>825615</v>
      </c>
      <c r="E120" s="36">
        <v>264</v>
      </c>
      <c r="F120" s="36" t="s">
        <v>361</v>
      </c>
      <c r="G120" s="41">
        <v>12366527719</v>
      </c>
      <c r="H120" s="37">
        <v>2567012</v>
      </c>
      <c r="I120" s="42">
        <v>0.2</v>
      </c>
    </row>
    <row r="121" spans="1:9">
      <c r="A121" s="36">
        <v>120</v>
      </c>
      <c r="B121" s="36" t="s">
        <v>362</v>
      </c>
      <c r="C121" s="36" t="s">
        <v>363</v>
      </c>
      <c r="D121" s="37">
        <v>21</v>
      </c>
      <c r="E121" s="36">
        <v>674</v>
      </c>
      <c r="F121" s="36" t="s">
        <v>364</v>
      </c>
      <c r="G121" s="41">
        <v>133000000</v>
      </c>
      <c r="H121" s="37">
        <v>12668</v>
      </c>
      <c r="I121" s="42">
        <v>0.02</v>
      </c>
    </row>
    <row r="122" spans="1:9">
      <c r="A122" s="36">
        <v>121</v>
      </c>
      <c r="B122" s="36" t="s">
        <v>365</v>
      </c>
      <c r="C122" s="36" t="s">
        <v>366</v>
      </c>
      <c r="D122" s="37">
        <v>147181</v>
      </c>
      <c r="E122" s="36">
        <v>977</v>
      </c>
      <c r="F122" s="36" t="s">
        <v>367</v>
      </c>
      <c r="G122" s="41">
        <v>30641380604</v>
      </c>
      <c r="H122" s="37">
        <v>30547580</v>
      </c>
      <c r="I122" s="42">
        <v>0.01</v>
      </c>
    </row>
    <row r="123" spans="1:9">
      <c r="A123" s="36">
        <v>122</v>
      </c>
      <c r="B123" s="36" t="s">
        <v>368</v>
      </c>
      <c r="C123" s="36" t="s">
        <v>369</v>
      </c>
      <c r="D123" s="37">
        <v>37378</v>
      </c>
      <c r="E123" s="36">
        <v>31</v>
      </c>
      <c r="F123" s="36" t="s">
        <v>370</v>
      </c>
      <c r="G123" s="41">
        <v>909070395161</v>
      </c>
      <c r="H123" s="37">
        <v>17942942</v>
      </c>
      <c r="I123" s="42">
        <v>0.03</v>
      </c>
    </row>
    <row r="124" spans="1:9">
      <c r="A124" s="36">
        <v>123</v>
      </c>
      <c r="B124" s="36" t="s">
        <v>371</v>
      </c>
      <c r="C124" s="36" t="s">
        <v>372</v>
      </c>
      <c r="D124" s="37">
        <v>268021</v>
      </c>
      <c r="E124" s="36">
        <v>64</v>
      </c>
      <c r="F124" s="36" t="s">
        <v>373</v>
      </c>
      <c r="G124" s="41">
        <v>206928765544</v>
      </c>
      <c r="H124" s="37">
        <v>5124100</v>
      </c>
      <c r="I124" s="42">
        <v>0.04</v>
      </c>
    </row>
    <row r="125" spans="1:9">
      <c r="A125" s="36">
        <v>124</v>
      </c>
      <c r="B125" s="36" t="s">
        <v>374</v>
      </c>
      <c r="C125" s="36" t="s">
        <v>375</v>
      </c>
      <c r="D125" s="37">
        <v>130375</v>
      </c>
      <c r="E125" s="36">
        <v>505</v>
      </c>
      <c r="F125" s="36" t="s">
        <v>376</v>
      </c>
      <c r="G125" s="41">
        <v>12520915291</v>
      </c>
      <c r="H125" s="37">
        <v>6948392</v>
      </c>
      <c r="I125" s="42">
        <v>7.0000000000000007E-2</v>
      </c>
    </row>
    <row r="126" spans="1:9">
      <c r="A126" s="36">
        <v>125</v>
      </c>
      <c r="B126" s="36" t="s">
        <v>377</v>
      </c>
      <c r="C126" s="36" t="s">
        <v>378</v>
      </c>
      <c r="D126" s="37">
        <v>1267000</v>
      </c>
      <c r="E126" s="36">
        <v>227</v>
      </c>
      <c r="F126" s="36" t="s">
        <v>379</v>
      </c>
      <c r="G126" s="41">
        <v>12928145120</v>
      </c>
      <c r="H126" s="37">
        <v>26207977</v>
      </c>
      <c r="I126" s="42">
        <v>0</v>
      </c>
    </row>
    <row r="127" spans="1:9">
      <c r="A127" s="36">
        <v>126</v>
      </c>
      <c r="B127" s="36" t="s">
        <v>380</v>
      </c>
      <c r="C127" s="36" t="s">
        <v>381</v>
      </c>
      <c r="D127" s="37">
        <v>923768</v>
      </c>
      <c r="E127" s="36">
        <v>234</v>
      </c>
      <c r="F127" s="36" t="s">
        <v>382</v>
      </c>
      <c r="G127" s="41">
        <v>448120428859</v>
      </c>
      <c r="H127" s="37">
        <v>218541212</v>
      </c>
      <c r="I127" s="42">
        <v>0.08</v>
      </c>
    </row>
    <row r="128" spans="1:9">
      <c r="A128" s="36">
        <v>127</v>
      </c>
      <c r="B128" s="36" t="s">
        <v>383</v>
      </c>
      <c r="C128" s="36" t="s">
        <v>384</v>
      </c>
      <c r="D128" s="37">
        <v>120540</v>
      </c>
      <c r="E128" s="36">
        <v>850</v>
      </c>
      <c r="F128" s="36" t="s">
        <v>385</v>
      </c>
      <c r="G128" s="41">
        <v>32100000000</v>
      </c>
      <c r="H128" s="37">
        <v>26069416</v>
      </c>
      <c r="I128" s="42">
        <v>0.03</v>
      </c>
    </row>
    <row r="129" spans="1:9">
      <c r="A129" s="36">
        <v>128</v>
      </c>
      <c r="B129" s="36" t="s">
        <v>386</v>
      </c>
      <c r="C129" s="36" t="e" vm="1">
        <v>#VALUE!</v>
      </c>
      <c r="D129" s="37">
        <v>25713</v>
      </c>
      <c r="E129" s="36">
        <v>389</v>
      </c>
      <c r="F129" s="36" t="s">
        <v>387</v>
      </c>
      <c r="G129" s="41">
        <v>10220781069</v>
      </c>
      <c r="H129" s="37">
        <v>2057679</v>
      </c>
      <c r="I129" s="42">
        <v>0.03</v>
      </c>
    </row>
    <row r="130" spans="1:9">
      <c r="A130" s="36">
        <v>129</v>
      </c>
      <c r="B130" s="36" t="s">
        <v>388</v>
      </c>
      <c r="C130" s="36" t="s">
        <v>389</v>
      </c>
      <c r="D130" s="37">
        <v>385207</v>
      </c>
      <c r="E130" s="36">
        <v>47</v>
      </c>
      <c r="F130" s="36" t="s">
        <v>390</v>
      </c>
      <c r="G130" s="41">
        <v>403336363636</v>
      </c>
      <c r="H130" s="37">
        <v>5457127</v>
      </c>
      <c r="I130" s="42">
        <v>0.03</v>
      </c>
    </row>
    <row r="131" spans="1:9">
      <c r="A131" s="36">
        <v>130</v>
      </c>
      <c r="B131" s="36" t="s">
        <v>391</v>
      </c>
      <c r="C131" s="36" t="s">
        <v>392</v>
      </c>
      <c r="D131" s="37">
        <v>309500</v>
      </c>
      <c r="E131" s="36">
        <v>968</v>
      </c>
      <c r="F131" s="36" t="s">
        <v>393</v>
      </c>
      <c r="G131" s="41">
        <v>76983094928</v>
      </c>
      <c r="H131" s="37">
        <v>4576298</v>
      </c>
      <c r="I131" s="42">
        <v>0.03</v>
      </c>
    </row>
    <row r="132" spans="1:9">
      <c r="A132" s="36">
        <v>131</v>
      </c>
      <c r="B132" s="36" t="s">
        <v>394</v>
      </c>
      <c r="C132" s="36" t="s">
        <v>395</v>
      </c>
      <c r="D132" s="37">
        <v>881913</v>
      </c>
      <c r="E132" s="36">
        <v>92</v>
      </c>
      <c r="F132" s="36" t="s">
        <v>396</v>
      </c>
      <c r="G132" s="41">
        <v>304400000000</v>
      </c>
      <c r="H132" s="37">
        <v>235824862</v>
      </c>
      <c r="I132" s="42">
        <v>0.04</v>
      </c>
    </row>
    <row r="133" spans="1:9">
      <c r="A133" s="36">
        <v>132</v>
      </c>
      <c r="B133" s="36" t="s">
        <v>397</v>
      </c>
      <c r="C133" s="36" t="s">
        <v>398</v>
      </c>
      <c r="D133" s="37">
        <v>466</v>
      </c>
      <c r="E133" s="36">
        <v>680</v>
      </c>
      <c r="F133" s="36" t="s">
        <v>399</v>
      </c>
      <c r="G133" s="41">
        <v>283994900</v>
      </c>
      <c r="H133" s="37">
        <v>18055</v>
      </c>
      <c r="I133" s="42">
        <v>0.03</v>
      </c>
    </row>
    <row r="134" spans="1:9">
      <c r="A134" s="36">
        <v>133</v>
      </c>
      <c r="B134" s="36" t="s">
        <v>400</v>
      </c>
      <c r="C134" s="36" t="s">
        <v>398</v>
      </c>
      <c r="D134" s="37">
        <v>466</v>
      </c>
      <c r="E134" s="36">
        <v>680</v>
      </c>
      <c r="F134" s="36" t="s">
        <v>399</v>
      </c>
      <c r="G134" s="41">
        <v>283994901</v>
      </c>
      <c r="H134" s="37">
        <v>18055</v>
      </c>
      <c r="I134" s="42">
        <v>0.03</v>
      </c>
    </row>
    <row r="135" spans="1:9">
      <c r="A135" s="36">
        <v>134</v>
      </c>
      <c r="B135" s="36" t="s">
        <v>401</v>
      </c>
      <c r="C135" s="36" t="s">
        <v>402</v>
      </c>
      <c r="D135" s="37">
        <v>74177</v>
      </c>
      <c r="E135" s="36">
        <v>507</v>
      </c>
      <c r="F135" s="36" t="s">
        <v>403</v>
      </c>
      <c r="G135" s="41">
        <v>66800800000</v>
      </c>
      <c r="H135" s="37">
        <v>4408581</v>
      </c>
      <c r="I135" s="42">
        <v>0.04</v>
      </c>
    </row>
    <row r="136" spans="1:9">
      <c r="A136" s="36">
        <v>135</v>
      </c>
      <c r="B136" s="36" t="s">
        <v>404</v>
      </c>
      <c r="C136" s="36" t="s">
        <v>405</v>
      </c>
      <c r="D136" s="37">
        <v>462840</v>
      </c>
      <c r="E136" s="36">
        <v>675</v>
      </c>
      <c r="F136" s="36" t="s">
        <v>406</v>
      </c>
      <c r="G136" s="41">
        <v>24969611435</v>
      </c>
      <c r="H136" s="37">
        <v>10142619</v>
      </c>
      <c r="I136" s="42">
        <v>0.02</v>
      </c>
    </row>
    <row r="137" spans="1:9">
      <c r="A137" s="36">
        <v>136</v>
      </c>
      <c r="B137" s="36" t="s">
        <v>407</v>
      </c>
      <c r="C137" s="36" t="s">
        <v>408</v>
      </c>
      <c r="D137" s="37">
        <v>406756</v>
      </c>
      <c r="E137" s="36">
        <v>595</v>
      </c>
      <c r="F137" s="36" t="s">
        <v>409</v>
      </c>
      <c r="G137" s="41">
        <v>38145288940</v>
      </c>
      <c r="H137" s="37">
        <v>6780744</v>
      </c>
      <c r="I137" s="42">
        <v>0.05</v>
      </c>
    </row>
    <row r="138" spans="1:9">
      <c r="A138" s="36">
        <v>137</v>
      </c>
      <c r="B138" s="36" t="s">
        <v>410</v>
      </c>
      <c r="C138" s="36" t="s">
        <v>411</v>
      </c>
      <c r="D138" s="37">
        <v>1285216</v>
      </c>
      <c r="E138" s="36">
        <v>51</v>
      </c>
      <c r="F138" s="36" t="s">
        <v>412</v>
      </c>
      <c r="G138" s="41">
        <v>226848050820</v>
      </c>
      <c r="H138" s="37">
        <v>34049588</v>
      </c>
      <c r="I138" s="42">
        <v>0.03</v>
      </c>
    </row>
    <row r="139" spans="1:9">
      <c r="A139" s="36">
        <v>138</v>
      </c>
      <c r="B139" s="36" t="s">
        <v>413</v>
      </c>
      <c r="C139" s="36" t="s">
        <v>414</v>
      </c>
      <c r="D139" s="37">
        <v>343448</v>
      </c>
      <c r="E139" s="36">
        <v>63</v>
      </c>
      <c r="F139" s="36" t="s">
        <v>415</v>
      </c>
      <c r="G139" s="41">
        <v>376795508680</v>
      </c>
      <c r="H139" s="37">
        <v>115559009</v>
      </c>
      <c r="I139" s="42">
        <v>0.02</v>
      </c>
    </row>
    <row r="140" spans="1:9">
      <c r="A140" s="36">
        <v>139</v>
      </c>
      <c r="B140" s="36" t="s">
        <v>416</v>
      </c>
      <c r="C140" s="36" t="s">
        <v>417</v>
      </c>
      <c r="D140" s="37">
        <v>312683</v>
      </c>
      <c r="E140" s="36">
        <v>48</v>
      </c>
      <c r="F140" s="36" t="s">
        <v>418</v>
      </c>
      <c r="G140" s="41">
        <v>592164400688</v>
      </c>
      <c r="H140" s="37">
        <v>37561599</v>
      </c>
      <c r="I140" s="42">
        <v>0.03</v>
      </c>
    </row>
    <row r="141" spans="1:9">
      <c r="A141" s="36">
        <v>140</v>
      </c>
      <c r="B141" s="36" t="s">
        <v>419</v>
      </c>
      <c r="C141" s="36" t="s">
        <v>420</v>
      </c>
      <c r="D141" s="37">
        <v>92225</v>
      </c>
      <c r="E141" s="36">
        <v>351</v>
      </c>
      <c r="F141" s="36" t="s">
        <v>421</v>
      </c>
      <c r="G141" s="41">
        <v>237686075635</v>
      </c>
      <c r="H141" s="37">
        <v>10379007</v>
      </c>
      <c r="I141" s="42">
        <v>0.06</v>
      </c>
    </row>
    <row r="142" spans="1:9">
      <c r="A142" s="36">
        <v>141</v>
      </c>
      <c r="B142" s="36" t="s">
        <v>422</v>
      </c>
      <c r="C142" s="36" t="s">
        <v>423</v>
      </c>
      <c r="D142" s="37">
        <v>11437</v>
      </c>
      <c r="E142" s="36">
        <v>974</v>
      </c>
      <c r="F142" s="36" t="s">
        <v>424</v>
      </c>
      <c r="G142" s="41">
        <v>183466208791</v>
      </c>
      <c r="H142" s="37">
        <v>2695122</v>
      </c>
      <c r="I142" s="42">
        <v>0.06</v>
      </c>
    </row>
    <row r="143" spans="1:9">
      <c r="A143" s="36">
        <v>142</v>
      </c>
      <c r="B143" s="36" t="s">
        <v>425</v>
      </c>
      <c r="C143" s="36" t="s">
        <v>426</v>
      </c>
      <c r="D143" s="37">
        <v>238397</v>
      </c>
      <c r="E143" s="36">
        <v>40</v>
      </c>
      <c r="F143" s="36" t="s">
        <v>427</v>
      </c>
      <c r="G143" s="41">
        <v>250077444017</v>
      </c>
      <c r="H143" s="37">
        <v>18956666</v>
      </c>
      <c r="I143" s="42">
        <v>0.06</v>
      </c>
    </row>
    <row r="144" spans="1:9">
      <c r="A144" s="36">
        <v>143</v>
      </c>
      <c r="B144" s="36" t="s">
        <v>428</v>
      </c>
      <c r="C144" s="36" t="s">
        <v>429</v>
      </c>
      <c r="D144" s="37">
        <v>17075400</v>
      </c>
      <c r="E144" s="36">
        <v>7</v>
      </c>
      <c r="F144" s="36" t="s">
        <v>430</v>
      </c>
      <c r="G144" s="41">
        <v>1699876578871</v>
      </c>
      <c r="H144" s="37">
        <v>143555736</v>
      </c>
      <c r="I144" s="42">
        <v>0.05</v>
      </c>
    </row>
    <row r="145" spans="1:9">
      <c r="A145" s="36">
        <v>144</v>
      </c>
      <c r="B145" s="36" t="s">
        <v>431</v>
      </c>
      <c r="C145" s="36" t="s">
        <v>432</v>
      </c>
      <c r="D145" s="37">
        <v>26338</v>
      </c>
      <c r="E145" s="36">
        <v>250</v>
      </c>
      <c r="F145" s="36" t="s">
        <v>433</v>
      </c>
      <c r="G145" s="41">
        <v>10122472590</v>
      </c>
      <c r="H145" s="37">
        <v>13776698</v>
      </c>
      <c r="I145" s="42">
        <v>0.01</v>
      </c>
    </row>
    <row r="146" spans="1:9">
      <c r="A146" s="36">
        <v>145</v>
      </c>
      <c r="B146" s="36" t="s">
        <v>434</v>
      </c>
      <c r="C146" s="36" t="s">
        <v>435</v>
      </c>
      <c r="D146" s="37">
        <v>269</v>
      </c>
      <c r="E146" s="36">
        <v>1869</v>
      </c>
      <c r="F146" s="36" t="s">
        <v>436</v>
      </c>
      <c r="G146" s="41">
        <v>1050992593</v>
      </c>
      <c r="H146" s="37">
        <v>47657</v>
      </c>
      <c r="I146" s="42">
        <v>0.01</v>
      </c>
    </row>
    <row r="147" spans="1:9">
      <c r="A147" s="36">
        <v>146</v>
      </c>
      <c r="B147" s="36" t="s">
        <v>437</v>
      </c>
      <c r="C147" s="36" t="s">
        <v>438</v>
      </c>
      <c r="D147" s="37">
        <v>617</v>
      </c>
      <c r="E147" s="36">
        <v>1758</v>
      </c>
      <c r="F147" s="36" t="s">
        <v>439</v>
      </c>
      <c r="G147" s="41">
        <v>2122450630</v>
      </c>
      <c r="H147" s="37">
        <v>179857</v>
      </c>
      <c r="I147" s="42">
        <v>0.21</v>
      </c>
    </row>
    <row r="148" spans="1:9">
      <c r="A148" s="36">
        <v>147</v>
      </c>
      <c r="B148" s="36" t="s">
        <v>440</v>
      </c>
      <c r="C148" s="36" t="s">
        <v>441</v>
      </c>
      <c r="D148" s="37">
        <v>389</v>
      </c>
      <c r="E148" s="36">
        <v>1784</v>
      </c>
      <c r="F148" s="36" t="s">
        <v>442</v>
      </c>
      <c r="G148" s="41">
        <v>825385185</v>
      </c>
      <c r="H148" s="37">
        <v>103948</v>
      </c>
      <c r="I148" s="42">
        <v>0.19</v>
      </c>
    </row>
    <row r="149" spans="1:9">
      <c r="A149" s="36">
        <v>148</v>
      </c>
      <c r="B149" s="36" t="s">
        <v>443</v>
      </c>
      <c r="C149" s="36" t="s">
        <v>444</v>
      </c>
      <c r="D149" s="37">
        <v>2842</v>
      </c>
      <c r="E149" s="36">
        <v>685</v>
      </c>
      <c r="F149" s="36" t="s">
        <v>445</v>
      </c>
      <c r="G149" s="41">
        <v>850655017</v>
      </c>
      <c r="H149" s="37">
        <v>222382</v>
      </c>
      <c r="I149" s="42">
        <v>0.08</v>
      </c>
    </row>
    <row r="150" spans="1:9">
      <c r="A150" s="36">
        <v>149</v>
      </c>
      <c r="B150" s="36" t="s">
        <v>446</v>
      </c>
      <c r="C150" s="36" t="s">
        <v>447</v>
      </c>
      <c r="D150" s="37">
        <v>61</v>
      </c>
      <c r="E150" s="36">
        <v>378</v>
      </c>
      <c r="F150" s="36" t="s">
        <v>448</v>
      </c>
      <c r="G150" s="41">
        <v>1637931034</v>
      </c>
      <c r="H150" s="37">
        <v>33660</v>
      </c>
      <c r="I150" s="42">
        <v>0.08</v>
      </c>
    </row>
    <row r="151" spans="1:9">
      <c r="A151" s="36">
        <v>150</v>
      </c>
      <c r="B151" s="36" t="s">
        <v>449</v>
      </c>
      <c r="C151" s="36" t="s">
        <v>450</v>
      </c>
      <c r="D151" s="37">
        <v>1001</v>
      </c>
      <c r="E151" s="36">
        <v>239</v>
      </c>
      <c r="F151" s="36" t="s">
        <v>451</v>
      </c>
      <c r="G151" s="41">
        <v>429016605</v>
      </c>
      <c r="H151" s="37">
        <v>227380</v>
      </c>
      <c r="I151" s="42">
        <v>0.08</v>
      </c>
    </row>
    <row r="152" spans="1:9">
      <c r="A152" s="36">
        <v>151</v>
      </c>
      <c r="B152" s="36" t="s">
        <v>452</v>
      </c>
      <c r="C152" s="36" t="s">
        <v>453</v>
      </c>
      <c r="D152" s="37">
        <v>2250000</v>
      </c>
      <c r="E152" s="36">
        <v>966</v>
      </c>
      <c r="F152" s="36" t="s">
        <v>454</v>
      </c>
      <c r="G152" s="41">
        <v>792966838162</v>
      </c>
      <c r="H152" s="37">
        <v>36408820</v>
      </c>
      <c r="I152" s="42">
        <v>0.06</v>
      </c>
    </row>
    <row r="153" spans="1:9">
      <c r="A153" s="36">
        <v>152</v>
      </c>
      <c r="B153" s="36" t="s">
        <v>455</v>
      </c>
      <c r="C153" s="36" t="s">
        <v>456</v>
      </c>
      <c r="D153" s="37">
        <v>196722</v>
      </c>
      <c r="E153" s="36">
        <v>221</v>
      </c>
      <c r="F153" s="36" t="s">
        <v>457</v>
      </c>
      <c r="G153" s="41">
        <v>23578084052</v>
      </c>
      <c r="H153" s="37">
        <v>17316449</v>
      </c>
      <c r="I153" s="42">
        <v>7.0000000000000007E-2</v>
      </c>
    </row>
    <row r="154" spans="1:9">
      <c r="A154" s="36">
        <v>153</v>
      </c>
      <c r="B154" s="36" t="s">
        <v>458</v>
      </c>
      <c r="C154" s="36" t="s">
        <v>459</v>
      </c>
      <c r="D154" s="37">
        <v>88499</v>
      </c>
      <c r="E154" s="36">
        <v>381</v>
      </c>
      <c r="F154" s="36" t="s">
        <v>460</v>
      </c>
      <c r="G154" s="41">
        <v>51409167351</v>
      </c>
      <c r="H154" s="37">
        <v>6760087</v>
      </c>
      <c r="I154" s="42">
        <v>0.13</v>
      </c>
    </row>
    <row r="155" spans="1:9">
      <c r="A155" s="36">
        <v>154</v>
      </c>
      <c r="B155" s="36" t="s">
        <v>461</v>
      </c>
      <c r="C155" s="36" t="s">
        <v>462</v>
      </c>
      <c r="D155" s="37">
        <v>459</v>
      </c>
      <c r="E155" s="36">
        <v>248</v>
      </c>
      <c r="F155" s="36" t="s">
        <v>463</v>
      </c>
      <c r="G155" s="41">
        <v>1698843063</v>
      </c>
      <c r="H155" s="37">
        <v>100060</v>
      </c>
      <c r="I155" s="42">
        <v>0.13</v>
      </c>
    </row>
    <row r="156" spans="1:9">
      <c r="A156" s="36">
        <v>155</v>
      </c>
      <c r="B156" s="36" t="s">
        <v>464</v>
      </c>
      <c r="C156" s="36" t="s">
        <v>465</v>
      </c>
      <c r="D156" s="37">
        <v>71740</v>
      </c>
      <c r="E156" s="36">
        <v>232</v>
      </c>
      <c r="F156" s="36" t="s">
        <v>466</v>
      </c>
      <c r="G156" s="41">
        <v>3941474311</v>
      </c>
      <c r="H156" s="37">
        <v>8605718</v>
      </c>
      <c r="I156" s="42">
        <v>0.13</v>
      </c>
    </row>
    <row r="157" spans="1:9">
      <c r="A157" s="36">
        <v>156</v>
      </c>
      <c r="B157" s="36" t="s">
        <v>467</v>
      </c>
      <c r="C157" s="36" t="s">
        <v>468</v>
      </c>
      <c r="D157" s="37">
        <v>719</v>
      </c>
      <c r="E157" s="36">
        <v>65</v>
      </c>
      <c r="F157" s="36" t="e" vm="2">
        <v>#VALUE!</v>
      </c>
      <c r="G157" s="41">
        <v>372062527489</v>
      </c>
      <c r="H157" s="37">
        <v>5637022</v>
      </c>
      <c r="I157" s="42">
        <v>0.04</v>
      </c>
    </row>
    <row r="158" spans="1:9">
      <c r="A158" s="36">
        <v>157</v>
      </c>
      <c r="B158" s="36" t="s">
        <v>469</v>
      </c>
      <c r="C158" s="36" t="s">
        <v>470</v>
      </c>
      <c r="D158" s="37">
        <v>49035</v>
      </c>
      <c r="E158" s="36">
        <v>421</v>
      </c>
      <c r="F158" s="36" t="s">
        <v>471</v>
      </c>
      <c r="G158" s="41">
        <v>105422304976</v>
      </c>
      <c r="H158" s="37">
        <v>5431752</v>
      </c>
      <c r="I158" s="42">
        <v>0.06</v>
      </c>
    </row>
    <row r="159" spans="1:9">
      <c r="A159" s="36">
        <v>158</v>
      </c>
      <c r="B159" s="36" t="s">
        <v>472</v>
      </c>
      <c r="C159" s="36" t="s">
        <v>473</v>
      </c>
      <c r="D159" s="37">
        <v>20271</v>
      </c>
      <c r="E159" s="36">
        <v>386</v>
      </c>
      <c r="F159" s="36" t="s">
        <v>474</v>
      </c>
      <c r="G159" s="41">
        <v>53742159517</v>
      </c>
      <c r="H159" s="37">
        <v>2108732</v>
      </c>
      <c r="I159" s="42">
        <v>0.04</v>
      </c>
    </row>
    <row r="160" spans="1:9">
      <c r="A160" s="36">
        <v>159</v>
      </c>
      <c r="B160" s="36" t="s">
        <v>475</v>
      </c>
      <c r="C160" s="36" t="s">
        <v>476</v>
      </c>
      <c r="D160" s="37">
        <v>28400</v>
      </c>
      <c r="E160" s="36">
        <v>677</v>
      </c>
      <c r="F160" s="36" t="s">
        <v>477</v>
      </c>
      <c r="G160" s="41">
        <v>1425074226</v>
      </c>
      <c r="H160" s="37">
        <v>724273</v>
      </c>
      <c r="I160" s="42">
        <v>0.01</v>
      </c>
    </row>
    <row r="161" spans="1:9">
      <c r="A161" s="36">
        <v>160</v>
      </c>
      <c r="B161" s="36" t="s">
        <v>478</v>
      </c>
      <c r="C161" s="36" t="s">
        <v>479</v>
      </c>
      <c r="D161" s="37">
        <v>637657</v>
      </c>
      <c r="E161" s="36">
        <v>252</v>
      </c>
      <c r="F161" s="36" t="s">
        <v>480</v>
      </c>
      <c r="G161" s="41">
        <v>4720727278</v>
      </c>
      <c r="H161" s="37">
        <v>17597511</v>
      </c>
      <c r="I161" s="42">
        <v>0.11</v>
      </c>
    </row>
    <row r="162" spans="1:9">
      <c r="A162" s="36">
        <v>161</v>
      </c>
      <c r="B162" s="36" t="s">
        <v>481</v>
      </c>
      <c r="C162" s="36" t="s">
        <v>482</v>
      </c>
      <c r="D162" s="37">
        <v>1221037</v>
      </c>
      <c r="E162" s="36">
        <v>27</v>
      </c>
      <c r="F162" s="36" t="s">
        <v>483</v>
      </c>
      <c r="G162" s="41">
        <v>351431649241</v>
      </c>
      <c r="H162" s="37">
        <v>59893885</v>
      </c>
      <c r="I162" s="42">
        <v>0.28000000000000003</v>
      </c>
    </row>
    <row r="163" spans="1:9">
      <c r="A163" s="36">
        <v>162</v>
      </c>
      <c r="B163" s="36" t="s">
        <v>484</v>
      </c>
      <c r="C163" s="36" t="s">
        <v>485</v>
      </c>
      <c r="D163" s="37">
        <v>100295</v>
      </c>
      <c r="E163" s="36">
        <v>82</v>
      </c>
      <c r="F163" s="36" t="s">
        <v>486</v>
      </c>
      <c r="G163" s="41">
        <v>2029000000000</v>
      </c>
      <c r="H163" s="37">
        <v>51628117</v>
      </c>
      <c r="I163" s="42">
        <v>0.04</v>
      </c>
    </row>
    <row r="164" spans="1:9">
      <c r="A164" s="36">
        <v>163</v>
      </c>
      <c r="B164" s="36" t="s">
        <v>487</v>
      </c>
      <c r="C164" s="36" t="s">
        <v>488</v>
      </c>
      <c r="D164" s="37">
        <v>644329</v>
      </c>
      <c r="E164" s="36">
        <v>211</v>
      </c>
      <c r="F164" s="36" t="s">
        <v>489</v>
      </c>
      <c r="G164" s="41">
        <v>11997800751</v>
      </c>
      <c r="H164" s="37">
        <v>10913164</v>
      </c>
      <c r="I164" s="42">
        <v>0.12</v>
      </c>
    </row>
    <row r="165" spans="1:9">
      <c r="A165" s="36">
        <v>164</v>
      </c>
      <c r="B165" s="36" t="s">
        <v>490</v>
      </c>
      <c r="C165" s="36" t="s">
        <v>491</v>
      </c>
      <c r="D165" s="37">
        <v>505990</v>
      </c>
      <c r="E165" s="36">
        <v>34</v>
      </c>
      <c r="F165" s="36" t="s">
        <v>492</v>
      </c>
      <c r="G165" s="41">
        <v>1394116310769</v>
      </c>
      <c r="H165" s="37">
        <v>47615034</v>
      </c>
      <c r="I165" s="42">
        <v>0.14000000000000001</v>
      </c>
    </row>
    <row r="166" spans="1:9">
      <c r="A166" s="36">
        <v>165</v>
      </c>
      <c r="B166" s="36" t="s">
        <v>493</v>
      </c>
      <c r="C166" s="36" t="s">
        <v>494</v>
      </c>
      <c r="D166" s="37" t="e" vm="1">
        <v>#VALUE!</v>
      </c>
      <c r="E166" s="36">
        <v>94</v>
      </c>
      <c r="F166" s="36" t="s">
        <v>495</v>
      </c>
      <c r="G166" s="41">
        <v>84008783756</v>
      </c>
      <c r="H166" s="37">
        <v>22181000</v>
      </c>
      <c r="I166" s="42">
        <v>0.04</v>
      </c>
    </row>
    <row r="167" spans="1:9">
      <c r="A167" s="36">
        <v>166</v>
      </c>
      <c r="B167" s="36" t="s">
        <v>496</v>
      </c>
      <c r="C167" s="36" t="s">
        <v>497</v>
      </c>
      <c r="D167" s="37">
        <v>1886068</v>
      </c>
      <c r="E167" s="36">
        <v>249</v>
      </c>
      <c r="F167" s="36" t="s">
        <v>498</v>
      </c>
      <c r="G167" s="41">
        <v>18902284476</v>
      </c>
      <c r="H167" s="37">
        <v>46874204</v>
      </c>
      <c r="I167" s="42">
        <v>0.17</v>
      </c>
    </row>
    <row r="168" spans="1:9">
      <c r="A168" s="36">
        <v>167</v>
      </c>
      <c r="B168" s="36" t="s">
        <v>499</v>
      </c>
      <c r="C168" s="36" t="s">
        <v>500</v>
      </c>
      <c r="D168" s="37">
        <v>163270</v>
      </c>
      <c r="E168" s="36">
        <v>597</v>
      </c>
      <c r="F168" s="36" t="s">
        <v>501</v>
      </c>
      <c r="G168" s="41">
        <v>3985250737</v>
      </c>
      <c r="H168" s="37">
        <v>618040</v>
      </c>
      <c r="I168" s="42">
        <v>7.0000000000000007E-2</v>
      </c>
    </row>
    <row r="169" spans="1:9">
      <c r="A169" s="36">
        <v>168</v>
      </c>
      <c r="B169" s="36" t="s">
        <v>502</v>
      </c>
      <c r="C169" s="36" t="s">
        <v>503</v>
      </c>
      <c r="D169" s="37">
        <v>447425</v>
      </c>
      <c r="E169" s="36">
        <v>46</v>
      </c>
      <c r="F169" s="36" t="s">
        <v>504</v>
      </c>
      <c r="G169" s="41">
        <v>530832908738</v>
      </c>
      <c r="H169" s="37">
        <v>10486941</v>
      </c>
      <c r="I169" s="42">
        <v>0.06</v>
      </c>
    </row>
    <row r="170" spans="1:9">
      <c r="A170" s="36">
        <v>169</v>
      </c>
      <c r="B170" s="36" t="s">
        <v>505</v>
      </c>
      <c r="C170" s="36" t="s">
        <v>506</v>
      </c>
      <c r="D170" s="37">
        <v>41285</v>
      </c>
      <c r="E170" s="36">
        <v>41</v>
      </c>
      <c r="F170" s="36" t="s">
        <v>507</v>
      </c>
      <c r="G170" s="41">
        <v>703082435360</v>
      </c>
      <c r="H170" s="37">
        <v>8769741</v>
      </c>
      <c r="I170" s="42">
        <v>0.05</v>
      </c>
    </row>
    <row r="171" spans="1:9">
      <c r="A171" s="36">
        <v>170</v>
      </c>
      <c r="B171" s="36" t="s">
        <v>508</v>
      </c>
      <c r="C171" s="36" t="s">
        <v>509</v>
      </c>
      <c r="D171" s="37">
        <v>185180</v>
      </c>
      <c r="E171" s="36">
        <v>963</v>
      </c>
      <c r="F171" s="36" t="s">
        <v>510</v>
      </c>
      <c r="G171" s="41">
        <v>40405006007</v>
      </c>
      <c r="H171" s="37">
        <v>22125249</v>
      </c>
      <c r="I171" s="42">
        <v>0.08</v>
      </c>
    </row>
    <row r="172" spans="1:9">
      <c r="A172" s="36">
        <v>171</v>
      </c>
      <c r="B172" s="36" t="s">
        <v>511</v>
      </c>
      <c r="C172" s="36" t="s">
        <v>512</v>
      </c>
      <c r="D172" s="37">
        <v>143100</v>
      </c>
      <c r="E172" s="36">
        <v>992</v>
      </c>
      <c r="F172" s="36" t="s">
        <v>513</v>
      </c>
      <c r="G172" s="41">
        <v>8116626794</v>
      </c>
      <c r="H172" s="37">
        <v>9952787</v>
      </c>
      <c r="I172" s="42">
        <v>0.11</v>
      </c>
    </row>
    <row r="173" spans="1:9">
      <c r="A173" s="36">
        <v>172</v>
      </c>
      <c r="B173" s="36" t="s">
        <v>514</v>
      </c>
      <c r="C173" s="36" t="s">
        <v>515</v>
      </c>
      <c r="D173" s="37">
        <v>947303</v>
      </c>
      <c r="E173" s="36">
        <v>255</v>
      </c>
      <c r="F173" s="36" t="s">
        <v>516</v>
      </c>
      <c r="G173" s="41">
        <v>63177068175</v>
      </c>
      <c r="H173" s="37">
        <v>65497748</v>
      </c>
      <c r="I173" s="42">
        <v>0.02</v>
      </c>
    </row>
    <row r="174" spans="1:9">
      <c r="A174" s="36">
        <v>173</v>
      </c>
      <c r="B174" s="36" t="s">
        <v>517</v>
      </c>
      <c r="C174" s="36" t="s">
        <v>518</v>
      </c>
      <c r="D174" s="37">
        <v>513120</v>
      </c>
      <c r="E174" s="36">
        <v>66</v>
      </c>
      <c r="F174" s="36" t="s">
        <v>519</v>
      </c>
      <c r="G174" s="41">
        <v>543649976166</v>
      </c>
      <c r="H174" s="37">
        <v>71697030</v>
      </c>
      <c r="I174" s="42">
        <v>0.01</v>
      </c>
    </row>
    <row r="175" spans="1:9">
      <c r="A175" s="36">
        <v>174</v>
      </c>
      <c r="B175" s="36" t="s">
        <v>520</v>
      </c>
      <c r="C175" s="36" t="s">
        <v>521</v>
      </c>
      <c r="D175" s="37">
        <v>14919</v>
      </c>
      <c r="E175" s="36">
        <v>670</v>
      </c>
      <c r="F175" s="36" t="s">
        <v>522</v>
      </c>
      <c r="G175" s="41">
        <v>1673540300</v>
      </c>
      <c r="H175" s="37">
        <v>1341296</v>
      </c>
      <c r="I175" s="42">
        <v>0.05</v>
      </c>
    </row>
    <row r="176" spans="1:9">
      <c r="A176" s="36">
        <v>175</v>
      </c>
      <c r="B176" s="36" t="s">
        <v>523</v>
      </c>
      <c r="C176" s="36" t="s">
        <v>524</v>
      </c>
      <c r="D176" s="37">
        <v>56785</v>
      </c>
      <c r="E176" s="36">
        <v>228</v>
      </c>
      <c r="F176" s="36" t="s">
        <v>525</v>
      </c>
      <c r="G176" s="41">
        <v>5459979417</v>
      </c>
      <c r="H176" s="37">
        <v>8848699</v>
      </c>
      <c r="I176" s="42">
        <v>0.02</v>
      </c>
    </row>
    <row r="177" spans="1:9">
      <c r="A177" s="36">
        <v>176</v>
      </c>
      <c r="B177" s="36" t="s">
        <v>526</v>
      </c>
      <c r="C177" s="36" t="s">
        <v>527</v>
      </c>
      <c r="D177" s="37">
        <v>749</v>
      </c>
      <c r="E177" s="36">
        <v>676</v>
      </c>
      <c r="F177" s="36" t="s">
        <v>528</v>
      </c>
      <c r="G177" s="41">
        <v>450353314</v>
      </c>
      <c r="H177" s="37">
        <v>106858</v>
      </c>
      <c r="I177" s="42">
        <v>0.01</v>
      </c>
    </row>
    <row r="178" spans="1:9">
      <c r="A178" s="36">
        <v>177</v>
      </c>
      <c r="B178" s="36" t="s">
        <v>529</v>
      </c>
      <c r="C178" s="36" t="s">
        <v>530</v>
      </c>
      <c r="D178" s="37">
        <v>5128</v>
      </c>
      <c r="E178" s="36">
        <v>1868</v>
      </c>
      <c r="F178" s="36" t="s">
        <v>531</v>
      </c>
      <c r="G178" s="41">
        <v>24100202834</v>
      </c>
      <c r="H178" s="37">
        <v>1531044</v>
      </c>
      <c r="I178" s="42">
        <v>0.03</v>
      </c>
    </row>
    <row r="179" spans="1:9">
      <c r="A179" s="36">
        <v>178</v>
      </c>
      <c r="B179" s="36" t="s">
        <v>532</v>
      </c>
      <c r="C179" s="36" t="s">
        <v>533</v>
      </c>
      <c r="D179" s="37">
        <v>163610</v>
      </c>
      <c r="E179" s="36">
        <v>216</v>
      </c>
      <c r="F179" s="36" t="s">
        <v>534</v>
      </c>
      <c r="G179" s="41">
        <v>38797709924</v>
      </c>
      <c r="H179" s="37">
        <v>12356117</v>
      </c>
      <c r="I179" s="42">
        <v>0.16</v>
      </c>
    </row>
    <row r="180" spans="1:9">
      <c r="A180" s="36">
        <v>179</v>
      </c>
      <c r="B180" s="36" t="s">
        <v>535</v>
      </c>
      <c r="C180" s="36" t="s">
        <v>536</v>
      </c>
      <c r="D180" s="37">
        <v>783562</v>
      </c>
      <c r="E180" s="36">
        <v>90</v>
      </c>
      <c r="F180" s="36" t="s">
        <v>537</v>
      </c>
      <c r="G180" s="41">
        <v>754411708203</v>
      </c>
      <c r="H180" s="37">
        <v>85341241</v>
      </c>
      <c r="I180" s="42">
        <v>0.13</v>
      </c>
    </row>
    <row r="181" spans="1:9">
      <c r="A181" s="36">
        <v>180</v>
      </c>
      <c r="B181" s="36" t="s">
        <v>538</v>
      </c>
      <c r="C181" s="36" t="s">
        <v>539</v>
      </c>
      <c r="D181" s="37">
        <v>491210</v>
      </c>
      <c r="E181" s="36">
        <v>993</v>
      </c>
      <c r="F181" s="36" t="s">
        <v>540</v>
      </c>
      <c r="G181" s="41">
        <v>40761142857</v>
      </c>
      <c r="H181" s="37">
        <v>6430770</v>
      </c>
      <c r="I181" s="42">
        <v>0.04</v>
      </c>
    </row>
    <row r="182" spans="1:9">
      <c r="A182" s="36">
        <v>181</v>
      </c>
      <c r="B182" s="36" t="s">
        <v>541</v>
      </c>
      <c r="C182" s="36" t="s">
        <v>542</v>
      </c>
      <c r="D182" s="37">
        <v>26</v>
      </c>
      <c r="E182" s="36">
        <v>688</v>
      </c>
      <c r="F182" s="36" t="s">
        <v>543</v>
      </c>
      <c r="G182" s="41">
        <v>47271463</v>
      </c>
      <c r="H182" s="37">
        <v>11312</v>
      </c>
      <c r="I182" s="42">
        <v>0.04</v>
      </c>
    </row>
    <row r="183" spans="1:9">
      <c r="A183" s="36">
        <v>182</v>
      </c>
      <c r="B183" s="36" t="s">
        <v>544</v>
      </c>
      <c r="C183" s="36" t="s">
        <v>545</v>
      </c>
      <c r="D183" s="37">
        <v>241038</v>
      </c>
      <c r="E183" s="36">
        <v>256</v>
      </c>
      <c r="F183" s="36" t="s">
        <v>546</v>
      </c>
      <c r="G183" s="41">
        <v>34387229486</v>
      </c>
      <c r="H183" s="37">
        <v>47249585</v>
      </c>
      <c r="I183" s="42">
        <v>0.04</v>
      </c>
    </row>
    <row r="184" spans="1:9">
      <c r="A184" s="36">
        <v>183</v>
      </c>
      <c r="B184" s="36" t="s">
        <v>547</v>
      </c>
      <c r="C184" s="36" t="s">
        <v>548</v>
      </c>
      <c r="D184" s="37">
        <v>603550</v>
      </c>
      <c r="E184" s="36">
        <v>380</v>
      </c>
      <c r="F184" s="36" t="s">
        <v>549</v>
      </c>
      <c r="G184" s="41">
        <v>153781069118</v>
      </c>
      <c r="H184" s="37">
        <v>38000000</v>
      </c>
      <c r="I184" s="42">
        <v>0.09</v>
      </c>
    </row>
    <row r="185" spans="1:9">
      <c r="A185" s="36">
        <v>184</v>
      </c>
      <c r="B185" s="36" t="s">
        <v>550</v>
      </c>
      <c r="C185" s="36" t="s">
        <v>551</v>
      </c>
      <c r="D185" s="37">
        <v>83600</v>
      </c>
      <c r="E185" s="36">
        <v>971</v>
      </c>
      <c r="F185" s="36" t="s">
        <v>552</v>
      </c>
      <c r="G185" s="41">
        <v>421142267938</v>
      </c>
      <c r="H185" s="37">
        <v>9441129</v>
      </c>
      <c r="I185" s="42">
        <v>0.02</v>
      </c>
    </row>
    <row r="186" spans="1:9">
      <c r="A186" s="36">
        <v>185</v>
      </c>
      <c r="B186" s="36" t="s">
        <v>553</v>
      </c>
      <c r="C186" s="36" t="s">
        <v>554</v>
      </c>
      <c r="D186" s="37">
        <v>242495</v>
      </c>
      <c r="E186" s="36">
        <v>44</v>
      </c>
      <c r="F186" s="36" t="s">
        <v>555</v>
      </c>
      <c r="G186" s="41">
        <v>2827113184696</v>
      </c>
      <c r="H186" s="37">
        <v>66971411</v>
      </c>
      <c r="I186" s="42">
        <v>0.04</v>
      </c>
    </row>
    <row r="187" spans="1:9">
      <c r="A187" s="36">
        <v>186</v>
      </c>
      <c r="B187" s="36" t="s">
        <v>556</v>
      </c>
      <c r="C187" s="36" t="s">
        <v>557</v>
      </c>
      <c r="D187" s="37">
        <v>9826675</v>
      </c>
      <c r="E187" s="36">
        <v>1</v>
      </c>
      <c r="F187" s="36" t="s">
        <v>558</v>
      </c>
      <c r="G187" s="41">
        <v>21427700000000</v>
      </c>
      <c r="H187" s="37">
        <v>333287557</v>
      </c>
      <c r="I187" s="42">
        <v>0.15</v>
      </c>
    </row>
    <row r="188" spans="1:9">
      <c r="A188" s="36">
        <v>187</v>
      </c>
      <c r="B188" s="36" t="s">
        <v>559</v>
      </c>
      <c r="C188" s="36" t="s">
        <v>560</v>
      </c>
      <c r="D188" s="37">
        <v>176215</v>
      </c>
      <c r="E188" s="36">
        <v>598</v>
      </c>
      <c r="F188" s="36" t="s">
        <v>561</v>
      </c>
      <c r="G188" s="41">
        <v>56045912952</v>
      </c>
      <c r="H188" s="37">
        <v>3422794</v>
      </c>
      <c r="I188" s="42">
        <v>0.09</v>
      </c>
    </row>
    <row r="189" spans="1:9">
      <c r="A189" s="36">
        <v>188</v>
      </c>
      <c r="B189" s="36" t="s">
        <v>562</v>
      </c>
      <c r="C189" s="36" t="s">
        <v>563</v>
      </c>
      <c r="D189" s="37">
        <v>448978</v>
      </c>
      <c r="E189" s="36">
        <v>998</v>
      </c>
      <c r="F189" s="36" t="s">
        <v>564</v>
      </c>
      <c r="G189" s="41">
        <v>57921286440</v>
      </c>
      <c r="H189" s="37">
        <v>35648100</v>
      </c>
      <c r="I189" s="42">
        <v>0.06</v>
      </c>
    </row>
    <row r="190" spans="1:9">
      <c r="A190" s="36">
        <v>189</v>
      </c>
      <c r="B190" s="36" t="s">
        <v>565</v>
      </c>
      <c r="C190" s="36" t="s">
        <v>566</v>
      </c>
      <c r="D190" s="37">
        <v>12190</v>
      </c>
      <c r="E190" s="36">
        <v>678</v>
      </c>
      <c r="F190" s="36" t="s">
        <v>567</v>
      </c>
      <c r="G190" s="41">
        <v>917058851</v>
      </c>
      <c r="H190" s="37">
        <v>326740</v>
      </c>
      <c r="I190" s="42">
        <v>0.04</v>
      </c>
    </row>
    <row r="191" spans="1:9">
      <c r="A191" s="36">
        <v>190</v>
      </c>
      <c r="B191" s="36" t="s">
        <v>568</v>
      </c>
      <c r="C191" s="36" t="s">
        <v>560</v>
      </c>
      <c r="D191" s="37">
        <v>176215</v>
      </c>
      <c r="E191" s="36">
        <v>598</v>
      </c>
      <c r="F191" s="36" t="s">
        <v>561</v>
      </c>
      <c r="G191" s="41">
        <v>56045912952</v>
      </c>
      <c r="H191" s="37">
        <v>3422794</v>
      </c>
      <c r="I191" s="42">
        <v>0.09</v>
      </c>
    </row>
    <row r="192" spans="1:9">
      <c r="A192" s="36">
        <v>191</v>
      </c>
      <c r="B192" s="36" t="s">
        <v>569</v>
      </c>
      <c r="C192" s="36" t="s">
        <v>570</v>
      </c>
      <c r="D192" s="37">
        <v>912050</v>
      </c>
      <c r="E192" s="36">
        <v>58</v>
      </c>
      <c r="F192" s="36" t="s">
        <v>571</v>
      </c>
      <c r="G192" s="41">
        <v>482359318768</v>
      </c>
      <c r="H192" s="37">
        <v>28301696</v>
      </c>
      <c r="I192" s="42">
        <v>0.09</v>
      </c>
    </row>
    <row r="193" spans="1:9">
      <c r="A193" s="36">
        <v>192</v>
      </c>
      <c r="B193" s="36" t="s">
        <v>572</v>
      </c>
      <c r="C193" s="36" t="s">
        <v>573</v>
      </c>
      <c r="D193" s="37">
        <v>331690</v>
      </c>
      <c r="E193" s="36">
        <v>84</v>
      </c>
      <c r="F193" s="36" t="s">
        <v>574</v>
      </c>
      <c r="G193" s="41">
        <v>261921244843</v>
      </c>
      <c r="H193" s="37">
        <v>98186856</v>
      </c>
      <c r="I193" s="42">
        <v>0.02</v>
      </c>
    </row>
    <row r="194" spans="1:9">
      <c r="A194" s="36">
        <v>193</v>
      </c>
      <c r="B194" s="36" t="s">
        <v>575</v>
      </c>
      <c r="C194" s="36" t="s">
        <v>576</v>
      </c>
      <c r="D194" s="37">
        <v>555000</v>
      </c>
      <c r="E194" s="36">
        <v>967</v>
      </c>
      <c r="F194" s="36" t="s">
        <v>577</v>
      </c>
      <c r="G194" s="41">
        <v>26914402224</v>
      </c>
      <c r="H194" s="37">
        <v>33696614</v>
      </c>
      <c r="I194" s="42">
        <v>0.13</v>
      </c>
    </row>
    <row r="195" spans="1:9">
      <c r="A195" s="36">
        <v>194</v>
      </c>
      <c r="B195" s="36" t="s">
        <v>578</v>
      </c>
      <c r="C195" s="36" t="s">
        <v>579</v>
      </c>
      <c r="D195" s="37">
        <v>752618</v>
      </c>
      <c r="E195" s="36">
        <v>260</v>
      </c>
      <c r="F195" s="36" t="s">
        <v>580</v>
      </c>
      <c r="G195" s="41">
        <v>23064722446</v>
      </c>
      <c r="H195" s="37">
        <v>20017675</v>
      </c>
      <c r="I195" s="42">
        <v>0.11</v>
      </c>
    </row>
    <row r="196" spans="1:9">
      <c r="A196" s="36">
        <v>195</v>
      </c>
      <c r="B196" s="36" t="s">
        <v>581</v>
      </c>
      <c r="C196" s="36" t="s">
        <v>582</v>
      </c>
      <c r="D196" s="37">
        <v>390757</v>
      </c>
      <c r="E196" s="36">
        <v>263</v>
      </c>
      <c r="F196" s="36" t="s">
        <v>583</v>
      </c>
      <c r="G196" s="41">
        <v>21440758800</v>
      </c>
      <c r="H196" s="37">
        <v>16320537</v>
      </c>
      <c r="I196" s="42">
        <v>0.05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08D1-D0A9-412E-A988-65541134E4F4}">
  <dimension ref="A1:T196"/>
  <sheetViews>
    <sheetView showGridLines="0" tabSelected="1" topLeftCell="M1" zoomScale="83" zoomScaleNormal="72" workbookViewId="0">
      <pane ySplit="1" topLeftCell="A2" activePane="bottomLeft" state="frozen"/>
      <selection activeCell="F1" sqref="F1"/>
      <selection pane="bottomLeft" activeCell="S18" sqref="S18"/>
    </sheetView>
  </sheetViews>
  <sheetFormatPr defaultRowHeight="15.6"/>
  <cols>
    <col min="1" max="1" width="10.625" style="38" customWidth="1"/>
    <col min="2" max="2" width="25.375" style="36" customWidth="1"/>
    <col min="3" max="3" width="13.25" style="36" customWidth="1"/>
    <col min="4" max="4" width="15.875" style="37" customWidth="1"/>
    <col min="5" max="5" width="9.625" style="38" customWidth="1"/>
    <col min="6" max="6" width="33.75" style="36" bestFit="1" customWidth="1"/>
    <col min="7" max="7" width="23.75" style="37" bestFit="1" customWidth="1"/>
    <col min="8" max="8" width="23.25" style="37" bestFit="1" customWidth="1"/>
    <col min="9" max="9" width="9.75" style="39" customWidth="1"/>
    <col min="10" max="10" width="17.625" style="36" customWidth="1"/>
    <col min="11" max="12" width="25.25" style="40" customWidth="1"/>
    <col min="13" max="13" width="30.25" style="36" customWidth="1"/>
    <col min="14" max="14" width="3.875" style="36" customWidth="1"/>
    <col min="15" max="15" width="17" style="36" customWidth="1"/>
    <col min="16" max="16" width="25.625" style="36" bestFit="1" customWidth="1"/>
    <col min="17" max="17" width="13.875" style="36" bestFit="1" customWidth="1"/>
    <col min="18" max="18" width="25.25" style="36" customWidth="1"/>
    <col min="19" max="19" width="69.875" style="36" bestFit="1" customWidth="1"/>
    <col min="20" max="20" width="31.875" style="36" bestFit="1" customWidth="1"/>
    <col min="21" max="16384" width="9" style="36"/>
  </cols>
  <sheetData>
    <row r="1" spans="1:20" ht="46.8">
      <c r="A1" s="31" t="s">
        <v>584</v>
      </c>
      <c r="B1" s="32" t="s">
        <v>585</v>
      </c>
      <c r="C1" s="32" t="s">
        <v>590</v>
      </c>
      <c r="D1" s="33" t="s">
        <v>591</v>
      </c>
      <c r="E1" s="31" t="s">
        <v>592</v>
      </c>
      <c r="F1" s="32" t="s">
        <v>593</v>
      </c>
      <c r="G1" s="33" t="s">
        <v>594</v>
      </c>
      <c r="H1" s="33" t="s">
        <v>7</v>
      </c>
      <c r="I1" s="34" t="s">
        <v>595</v>
      </c>
      <c r="J1" s="32" t="s">
        <v>596</v>
      </c>
      <c r="K1" s="35" t="s">
        <v>597</v>
      </c>
      <c r="L1" s="35" t="s">
        <v>598</v>
      </c>
      <c r="M1" s="32" t="s">
        <v>599</v>
      </c>
      <c r="O1" s="32" t="s">
        <v>584</v>
      </c>
      <c r="P1" s="32" t="s">
        <v>585</v>
      </c>
      <c r="Q1" s="32" t="s">
        <v>586</v>
      </c>
      <c r="R1" s="32" t="s">
        <v>587</v>
      </c>
      <c r="S1" s="32" t="s">
        <v>588</v>
      </c>
      <c r="T1" s="36" t="s">
        <v>589</v>
      </c>
    </row>
    <row r="2" spans="1:20">
      <c r="A2" s="31">
        <v>1</v>
      </c>
      <c r="B2" s="32" t="str">
        <f>_xlfn.XLOOKUP(tblCountriesClean[[#This Row],[Record_ID]],tblCountriesRaw[index],tblCountriesRaw[country],"Check")</f>
        <v>Afghanistan</v>
      </c>
      <c r="C2" s="36" t="str" cm="1">
        <f t="array" ref="C2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AF</v>
      </c>
      <c r="D2" s="37" cm="1">
        <f t="array" ref="D2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652230</v>
      </c>
      <c r="E2" s="38" cm="1">
        <f t="array" ref="E2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93</v>
      </c>
      <c r="F2" s="36" t="str" cm="1">
        <f t="array" ref="F2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Kabul</v>
      </c>
      <c r="G2" s="37" cm="1">
        <f t="array" ref="G2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19101353833</v>
      </c>
      <c r="H2" s="37" cm="1">
        <f t="array" ref="H2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41128771</v>
      </c>
      <c r="I2" s="39" cm="1">
        <f t="array" ref="I2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0.11</v>
      </c>
      <c r="J2" s="36">
        <f>IF(tblCountriesClean[[#This Row],[Data_Quality_Status]]="CHECK","",1+COUNTIFS(tblCountriesClean[GDP_USD],"&gt;"&amp;tblCountriesClean[[#This Row],[GDP_USD]],tblCountriesClean[Data_Quality_Status],"&lt;&gt;CHECK"))</f>
        <v>114</v>
      </c>
      <c r="K2" s="40">
        <f>IF(tblCountriesClean[[#This Row],[Data_Quality_Status]]="CHECK","",IFERROR(tblCountriesClean[[#This Row],[GDP_USD]]/tblCountriesClean[[#This Row],[Population]],""))</f>
        <v>464.42802370632472</v>
      </c>
      <c r="L2" s="40">
        <f>IF(tblCountriesClean[[#This Row],[Data_Quality_Status]]="CHECK","",IFERROR(tblCountriesClean[[#This Row],[Population]]/tblCountriesClean[[#This Row],[Area_km2]],""))</f>
        <v>63.058692485779559</v>
      </c>
      <c r="M2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  <c r="O2" s="32">
        <v>39</v>
      </c>
      <c r="P2" s="36" t="s">
        <v>123</v>
      </c>
      <c r="Q2" s="36" t="s">
        <v>590</v>
      </c>
      <c r="R2" s="36" t="s">
        <v>600</v>
      </c>
      <c r="S2" s="36" t="s">
        <v>607</v>
      </c>
      <c r="T2" s="36" t="s">
        <v>608</v>
      </c>
    </row>
    <row r="3" spans="1:20">
      <c r="A3" s="31">
        <v>2</v>
      </c>
      <c r="B3" s="32" t="str">
        <f>_xlfn.XLOOKUP(tblCountriesClean[[#This Row],[Record_ID]],tblCountriesRaw[index],tblCountriesRaw[country],"Check")</f>
        <v>Albania</v>
      </c>
      <c r="C3" s="36" t="str" cm="1">
        <f t="array" ref="C3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AL</v>
      </c>
      <c r="D3" s="37" cm="1">
        <f t="array" ref="D3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28748</v>
      </c>
      <c r="E3" s="38" cm="1">
        <f t="array" ref="E3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355</v>
      </c>
      <c r="F3" s="36" t="str" cm="1">
        <f t="array" ref="F3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Tirana</v>
      </c>
      <c r="G3" s="37" cm="1">
        <f t="array" ref="G3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15278077447</v>
      </c>
      <c r="H3" s="37" cm="1">
        <f t="array" ref="H3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2775634</v>
      </c>
      <c r="I3" s="39" cm="1">
        <f t="array" ref="I3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0.12</v>
      </c>
      <c r="J3" s="36">
        <f>IF(tblCountriesClean[[#This Row],[Data_Quality_Status]]="CHECK","",1+COUNTIFS(tblCountriesClean[GDP_USD],"&gt;"&amp;tblCountriesClean[[#This Row],[GDP_USD]],tblCountriesClean[Data_Quality_Status],"&lt;&gt;CHECK"))</f>
        <v>123</v>
      </c>
      <c r="K3" s="40">
        <f>IF(tblCountriesClean[[#This Row],[Data_Quality_Status]]="CHECK","",IFERROR(tblCountriesClean[[#This Row],[GDP_USD]]/tblCountriesClean[[#This Row],[Population]],""))</f>
        <v>5504.3559226468624</v>
      </c>
      <c r="L3" s="40">
        <f>IF(tblCountriesClean[[#This Row],[Data_Quality_Status]]="CHECK","",IFERROR(tblCountriesClean[[#This Row],[Population]]/tblCountriesClean[[#This Row],[Area_km2]],""))</f>
        <v>96.550507861416449</v>
      </c>
      <c r="M3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  <c r="O3" s="32">
        <v>56</v>
      </c>
      <c r="P3" s="36" t="s">
        <v>173</v>
      </c>
      <c r="Q3" s="36" t="s">
        <v>590</v>
      </c>
      <c r="R3" s="36" t="s">
        <v>601</v>
      </c>
      <c r="S3" s="36" t="s">
        <v>607</v>
      </c>
      <c r="T3" s="36" t="s">
        <v>602</v>
      </c>
    </row>
    <row r="4" spans="1:20">
      <c r="A4" s="31">
        <v>3</v>
      </c>
      <c r="B4" s="32" t="str">
        <f>_xlfn.XLOOKUP(tblCountriesClean[[#This Row],[Record_ID]],tblCountriesRaw[index],tblCountriesRaw[country],"Check")</f>
        <v>Algeria</v>
      </c>
      <c r="C4" s="36" t="str" cm="1">
        <f t="array" ref="C4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DZ</v>
      </c>
      <c r="D4" s="37" cm="1">
        <f t="array" ref="D4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2381741</v>
      </c>
      <c r="E4" s="38" cm="1">
        <f t="array" ref="E4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213</v>
      </c>
      <c r="F4" s="36" t="str" cm="1">
        <f t="array" ref="F4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Algiers</v>
      </c>
      <c r="G4" s="37" cm="1">
        <f t="array" ref="G4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169988236398</v>
      </c>
      <c r="H4" s="37" cm="1">
        <f t="array" ref="H4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44903225</v>
      </c>
      <c r="I4" s="39" cm="1">
        <f t="array" ref="I4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0.12</v>
      </c>
      <c r="J4" s="36">
        <f>IF(tblCountriesClean[[#This Row],[Data_Quality_Status]]="CHECK","",1+COUNTIFS(tblCountriesClean[GDP_USD],"&gt;"&amp;tblCountriesClean[[#This Row],[GDP_USD]],tblCountriesClean[Data_Quality_Status],"&lt;&gt;CHECK"))</f>
        <v>55</v>
      </c>
      <c r="K4" s="40">
        <f>IF(tblCountriesClean[[#This Row],[Data_Quality_Status]]="CHECK","",IFERROR(tblCountriesClean[[#This Row],[GDP_USD]]/tblCountriesClean[[#This Row],[Population]],""))</f>
        <v>3785.6576314507479</v>
      </c>
      <c r="L4" s="40">
        <f>IF(tblCountriesClean[[#This Row],[Data_Quality_Status]]="CHECK","",IFERROR(tblCountriesClean[[#This Row],[Population]]/tblCountriesClean[[#This Row],[Area_km2]],""))</f>
        <v>18.853109972914773</v>
      </c>
      <c r="M4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  <c r="O4" s="32">
        <v>80</v>
      </c>
      <c r="P4" s="36" t="s">
        <v>244</v>
      </c>
      <c r="Q4" s="36" t="s">
        <v>590</v>
      </c>
      <c r="R4" s="36" t="s">
        <v>603</v>
      </c>
      <c r="S4" s="36" t="s">
        <v>607</v>
      </c>
      <c r="T4" s="36" t="s">
        <v>608</v>
      </c>
    </row>
    <row r="5" spans="1:20" ht="21">
      <c r="A5" s="31">
        <v>4</v>
      </c>
      <c r="B5" s="32" t="str">
        <f>_xlfn.XLOOKUP(tblCountriesClean[[#This Row],[Record_ID]],tblCountriesRaw[index],tblCountriesRaw[country],"Check")</f>
        <v>Andorra</v>
      </c>
      <c r="C5" s="36" t="str" cm="1">
        <f t="array" ref="C5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AD</v>
      </c>
      <c r="D5" s="37" cm="1">
        <f t="array" ref="D5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468</v>
      </c>
      <c r="E5" s="38" cm="1">
        <f t="array" ref="E5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376</v>
      </c>
      <c r="F5" s="36" t="str" cm="1">
        <f t="array" ref="F5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Andorra la Vella</v>
      </c>
      <c r="G5" s="37" cm="1">
        <f t="array" ref="G5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3154057987</v>
      </c>
      <c r="H5" s="37" cm="1">
        <f t="array" ref="H5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79824</v>
      </c>
      <c r="I5" s="39" cm="1">
        <f t="array" ref="I5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</v>
      </c>
      <c r="J5" s="36">
        <f>IF(tblCountriesClean[[#This Row],[Data_Quality_Status]]="CHECK","",1+COUNTIFS(tblCountriesClean[GDP_USD],"&gt;"&amp;tblCountriesClean[[#This Row],[GDP_USD]],tblCountriesClean[Data_Quality_Status],"&lt;&gt;CHECK"))</f>
        <v>162</v>
      </c>
      <c r="K5" s="40">
        <f>IF(tblCountriesClean[[#This Row],[Data_Quality_Status]]="CHECK","",IFERROR(tblCountriesClean[[#This Row],[GDP_USD]]/tblCountriesClean[[#This Row],[Population]],""))</f>
        <v>39512.652673381439</v>
      </c>
      <c r="L5" s="40">
        <f>IF(tblCountriesClean[[#This Row],[Data_Quality_Status]]="CHECK","",IFERROR(tblCountriesClean[[#This Row],[Population]]/tblCountriesClean[[#This Row],[Area_km2]],""))</f>
        <v>170.56410256410257</v>
      </c>
      <c r="M5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  <c r="O5" s="32">
        <v>89</v>
      </c>
      <c r="P5" s="36" t="s">
        <v>270</v>
      </c>
      <c r="Q5" s="36" t="s">
        <v>593</v>
      </c>
      <c r="R5" s="36" t="s">
        <v>604</v>
      </c>
      <c r="S5" s="104" t="s">
        <v>762</v>
      </c>
      <c r="T5" s="36" t="s">
        <v>605</v>
      </c>
    </row>
    <row r="6" spans="1:20">
      <c r="A6" s="31">
        <v>5</v>
      </c>
      <c r="B6" s="32" t="str">
        <f>_xlfn.XLOOKUP(tblCountriesClean[[#This Row],[Record_ID]],tblCountriesRaw[index],tblCountriesRaw[country],"Check")</f>
        <v>Angola</v>
      </c>
      <c r="C6" s="36" t="str" cm="1">
        <f t="array" ref="C6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AO</v>
      </c>
      <c r="D6" s="37" cm="1">
        <f t="array" ref="D6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1246700</v>
      </c>
      <c r="E6" s="38" cm="1">
        <f t="array" ref="E6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244</v>
      </c>
      <c r="F6" s="36" t="str" cm="1">
        <f t="array" ref="F6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Luanda</v>
      </c>
      <c r="G6" s="37" cm="1">
        <f t="array" ref="G6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94635415870</v>
      </c>
      <c r="H6" s="37" cm="1">
        <f t="array" ref="H6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35588987</v>
      </c>
      <c r="I6" s="39" cm="1">
        <f t="array" ref="I6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7.0000000000000007E-2</v>
      </c>
      <c r="J6" s="36">
        <f>IF(tblCountriesClean[[#This Row],[Data_Quality_Status]]="CHECK","",1+COUNTIFS(tblCountriesClean[GDP_USD],"&gt;"&amp;tblCountriesClean[[#This Row],[GDP_USD]],tblCountriesClean[Data_Quality_Status],"&lt;&gt;CHECK"))</f>
        <v>65</v>
      </c>
      <c r="K6" s="40">
        <f>IF(tblCountriesClean[[#This Row],[Data_Quality_Status]]="CHECK","",IFERROR(tblCountriesClean[[#This Row],[GDP_USD]]/tblCountriesClean[[#This Row],[Population]],""))</f>
        <v>2659.1208080747001</v>
      </c>
      <c r="L6" s="40">
        <f>IF(tblCountriesClean[[#This Row],[Data_Quality_Status]]="CHECK","",IFERROR(tblCountriesClean[[#This Row],[Population]]/tblCountriesClean[[#This Row],[Area_km2]],""))</f>
        <v>28.546552498596295</v>
      </c>
      <c r="M6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  <c r="O6" s="32">
        <v>128</v>
      </c>
      <c r="P6" s="36" t="s">
        <v>386</v>
      </c>
      <c r="Q6" s="36" t="s">
        <v>590</v>
      </c>
      <c r="R6" s="36" t="s">
        <v>606</v>
      </c>
      <c r="S6" s="36" t="s">
        <v>607</v>
      </c>
      <c r="T6" s="36" t="s">
        <v>608</v>
      </c>
    </row>
    <row r="7" spans="1:20">
      <c r="A7" s="31">
        <v>6</v>
      </c>
      <c r="B7" s="32" t="str">
        <f>_xlfn.XLOOKUP(tblCountriesClean[[#This Row],[Record_ID]],tblCountriesRaw[index],tblCountriesRaw[country],"Check")</f>
        <v>Antigua and Barbuda</v>
      </c>
      <c r="C7" s="36" t="str" cm="1">
        <f t="array" ref="C7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AG</v>
      </c>
      <c r="D7" s="37" cm="1">
        <f t="array" ref="D7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440</v>
      </c>
      <c r="E7" s="38" cm="1">
        <f t="array" ref="E7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1268</v>
      </c>
      <c r="F7" s="36" t="str" cm="1">
        <f t="array" ref="F7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St. John's, Antigua and Barbuda</v>
      </c>
      <c r="G7" s="37" cm="1">
        <f t="array" ref="G7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1727759259</v>
      </c>
      <c r="H7" s="37" cm="1">
        <f t="array" ref="H7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93763</v>
      </c>
      <c r="I7" s="39" cm="1">
        <f t="array" ref="I7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0.02</v>
      </c>
      <c r="J7" s="36">
        <f>IF(tblCountriesClean[[#This Row],[Data_Quality_Status]]="CHECK","",1+COUNTIFS(tblCountriesClean[GDP_USD],"&gt;"&amp;tblCountriesClean[[#This Row],[GDP_USD]],tblCountriesClean[Data_Quality_Status],"&lt;&gt;CHECK"))</f>
        <v>173</v>
      </c>
      <c r="K7" s="40">
        <f>IF(tblCountriesClean[[#This Row],[Data_Quality_Status]]="CHECK","",IFERROR(tblCountriesClean[[#This Row],[GDP_USD]]/tblCountriesClean[[#This Row],[Population]],""))</f>
        <v>18426.876902402866</v>
      </c>
      <c r="L7" s="40">
        <f>IF(tblCountriesClean[[#This Row],[Data_Quality_Status]]="CHECK","",IFERROR(tblCountriesClean[[#This Row],[Population]]/tblCountriesClean[[#This Row],[Area_km2]],""))</f>
        <v>213.09772727272727</v>
      </c>
      <c r="M7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  <c r="O7" s="32">
        <v>156</v>
      </c>
      <c r="P7" s="36" t="s">
        <v>467</v>
      </c>
      <c r="Q7" s="36" t="s">
        <v>593</v>
      </c>
      <c r="R7" s="36" t="s">
        <v>467</v>
      </c>
      <c r="S7" s="36" t="s">
        <v>609</v>
      </c>
      <c r="T7" s="36" t="s">
        <v>605</v>
      </c>
    </row>
    <row r="8" spans="1:20" ht="21">
      <c r="A8" s="31">
        <v>7</v>
      </c>
      <c r="B8" s="32" t="str">
        <f>_xlfn.XLOOKUP(tblCountriesClean[[#This Row],[Record_ID]],tblCountriesRaw[index],tblCountriesRaw[country],"Check")</f>
        <v>Argentina</v>
      </c>
      <c r="C8" s="36" t="str" cm="1">
        <f t="array" ref="C8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AR</v>
      </c>
      <c r="D8" s="37" cm="1">
        <f t="array" ref="D8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2780400</v>
      </c>
      <c r="E8" s="38" cm="1">
        <f t="array" ref="E8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54</v>
      </c>
      <c r="F8" s="36" t="str" cm="1">
        <f t="array" ref="F8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Buenos Aires</v>
      </c>
      <c r="G8" s="37" cm="1">
        <f t="array" ref="G8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449663446954</v>
      </c>
      <c r="H8" s="37" cm="1">
        <f t="array" ref="H8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46234830</v>
      </c>
      <c r="I8" s="39" cm="1">
        <f t="array" ref="I8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</v>
      </c>
      <c r="J8" s="36">
        <f>IF(tblCountriesClean[[#This Row],[Data_Quality_Status]]="CHECK","",1+COUNTIFS(tblCountriesClean[GDP_USD],"&gt;"&amp;tblCountriesClean[[#This Row],[GDP_USD]],tblCountriesClean[Data_Quality_Status],"&lt;&gt;CHECK"))</f>
        <v>26</v>
      </c>
      <c r="K8" s="40">
        <f>IF(tblCountriesClean[[#This Row],[Data_Quality_Status]]="CHECK","",IFERROR(tblCountriesClean[[#This Row],[GDP_USD]]/tblCountriesClean[[#This Row],[Population]],""))</f>
        <v>9725.6429179906136</v>
      </c>
      <c r="L8" s="40">
        <f>IF(tblCountriesClean[[#This Row],[Data_Quality_Status]]="CHECK","",IFERROR(tblCountriesClean[[#This Row],[Population]]/tblCountriesClean[[#This Row],[Area_km2]],""))</f>
        <v>16.628841173931807</v>
      </c>
      <c r="M8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  <c r="O8" s="32">
        <v>165</v>
      </c>
      <c r="P8" s="36" t="s">
        <v>493</v>
      </c>
      <c r="Q8" s="36" t="s">
        <v>591</v>
      </c>
      <c r="R8" s="36">
        <v>65610</v>
      </c>
      <c r="S8" s="104" t="s">
        <v>763</v>
      </c>
      <c r="T8" s="36" t="s">
        <v>605</v>
      </c>
    </row>
    <row r="9" spans="1:20">
      <c r="A9" s="31">
        <v>8</v>
      </c>
      <c r="B9" s="32" t="str">
        <f>_xlfn.XLOOKUP(tblCountriesClean[[#This Row],[Record_ID]],tblCountriesRaw[index],tblCountriesRaw[country],"Check")</f>
        <v>Armenia</v>
      </c>
      <c r="C9" s="36" t="str" cm="1">
        <f t="array" ref="C9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AM</v>
      </c>
      <c r="D9" s="37" cm="1">
        <f t="array" ref="D9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29743</v>
      </c>
      <c r="E9" s="38" cm="1">
        <f t="array" ref="E9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374</v>
      </c>
      <c r="F9" s="36" t="str" cm="1">
        <f t="array" ref="F9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Yerevan</v>
      </c>
      <c r="G9" s="37" cm="1">
        <f t="array" ref="G9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13672802158</v>
      </c>
      <c r="H9" s="37" cm="1">
        <f t="array" ref="H9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2780469</v>
      </c>
      <c r="I9" s="39" cm="1">
        <f t="array" ref="I9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0.17</v>
      </c>
      <c r="J9" s="36">
        <f>IF(tblCountriesClean[[#This Row],[Data_Quality_Status]]="CHECK","",1+COUNTIFS(tblCountriesClean[GDP_USD],"&gt;"&amp;tblCountriesClean[[#This Row],[GDP_USD]],tblCountriesClean[Data_Quality_Status],"&lt;&gt;CHECK"))</f>
        <v>130</v>
      </c>
      <c r="K9" s="40">
        <f>IF(tblCountriesClean[[#This Row],[Data_Quality_Status]]="CHECK","",IFERROR(tblCountriesClean[[#This Row],[GDP_USD]]/tblCountriesClean[[#This Row],[Population]],""))</f>
        <v>4917.444559892594</v>
      </c>
      <c r="L9" s="40">
        <f>IF(tblCountriesClean[[#This Row],[Data_Quality_Status]]="CHECK","",IFERROR(tblCountriesClean[[#This Row],[Population]]/tblCountriesClean[[#This Row],[Area_km2]],""))</f>
        <v>93.483138889822811</v>
      </c>
      <c r="M9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0" spans="1:20">
      <c r="A10" s="31">
        <v>9</v>
      </c>
      <c r="B10" s="32" t="str">
        <f>_xlfn.XLOOKUP(tblCountriesClean[[#This Row],[Record_ID]],tblCountriesRaw[index],tblCountriesRaw[country],"Check")</f>
        <v>Australia</v>
      </c>
      <c r="C10" s="36" t="str" cm="1">
        <f t="array" ref="C10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AU</v>
      </c>
      <c r="D10" s="37" cm="1">
        <f t="array" ref="D10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7692024</v>
      </c>
      <c r="E10" s="38" cm="1">
        <f t="array" ref="E10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61</v>
      </c>
      <c r="F10" s="36" t="str" cm="1">
        <f t="array" ref="F10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Canberra</v>
      </c>
      <c r="G10" s="37" cm="1">
        <f t="array" ref="G10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1392680589329</v>
      </c>
      <c r="H10" s="37" cm="1">
        <f t="array" ref="H10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25978935</v>
      </c>
      <c r="I10" s="39" cm="1">
        <f t="array" ref="I10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0.05</v>
      </c>
      <c r="J10" s="36">
        <f>IF(tblCountriesClean[[#This Row],[Data_Quality_Status]]="CHECK","",1+COUNTIFS(tblCountriesClean[GDP_USD],"&gt;"&amp;tblCountriesClean[[#This Row],[GDP_USD]],tblCountriesClean[Data_Quality_Status],"&lt;&gt;CHECK"))</f>
        <v>14</v>
      </c>
      <c r="K10" s="40">
        <f>IF(tblCountriesClean[[#This Row],[Data_Quality_Status]]="CHECK","",IFERROR(tblCountriesClean[[#This Row],[GDP_USD]]/tblCountriesClean[[#This Row],[Population]],""))</f>
        <v>53608.070897786994</v>
      </c>
      <c r="L10" s="40">
        <f>IF(tblCountriesClean[[#This Row],[Data_Quality_Status]]="CHECK","",IFERROR(tblCountriesClean[[#This Row],[Population]]/tblCountriesClean[[#This Row],[Area_km2]],""))</f>
        <v>3.377386107999663</v>
      </c>
      <c r="M10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1" spans="1:20">
      <c r="A11" s="31">
        <v>10</v>
      </c>
      <c r="B11" s="32" t="str">
        <f>_xlfn.XLOOKUP(tblCountriesClean[[#This Row],[Record_ID]],tblCountriesRaw[index],tblCountriesRaw[country],"Check")</f>
        <v>Austria</v>
      </c>
      <c r="C11" s="36" t="str" cm="1">
        <f t="array" ref="C11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AT</v>
      </c>
      <c r="D11" s="37" cm="1">
        <f t="array" ref="D11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83879</v>
      </c>
      <c r="E11" s="38" cm="1">
        <f t="array" ref="E11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43</v>
      </c>
      <c r="F11" s="36" t="str" cm="1">
        <f t="array" ref="F11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Vienna</v>
      </c>
      <c r="G11" s="37" cm="1">
        <f t="array" ref="G11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446314739528</v>
      </c>
      <c r="H11" s="37" cm="1">
        <f t="array" ref="H11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9042528</v>
      </c>
      <c r="I11" s="39" cm="1">
        <f t="array" ref="I11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0.05</v>
      </c>
      <c r="J11" s="36">
        <f>IF(tblCountriesClean[[#This Row],[Data_Quality_Status]]="CHECK","",1+COUNTIFS(tblCountriesClean[GDP_USD],"&gt;"&amp;tblCountriesClean[[#This Row],[GDP_USD]],tblCountriesClean[Data_Quality_Status],"&lt;&gt;CHECK"))</f>
        <v>28</v>
      </c>
      <c r="K11" s="40">
        <f>IF(tblCountriesClean[[#This Row],[Data_Quality_Status]]="CHECK","",IFERROR(tblCountriesClean[[#This Row],[GDP_USD]]/tblCountriesClean[[#This Row],[Population]],""))</f>
        <v>49357.296933777812</v>
      </c>
      <c r="L11" s="40">
        <f>IF(tblCountriesClean[[#This Row],[Data_Quality_Status]]="CHECK","",IFERROR(tblCountriesClean[[#This Row],[Population]]/tblCountriesClean[[#This Row],[Area_km2]],""))</f>
        <v>107.80443257549565</v>
      </c>
      <c r="M11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2" spans="1:20">
      <c r="A12" s="31">
        <v>11</v>
      </c>
      <c r="B12" s="32" t="str">
        <f>_xlfn.XLOOKUP(tblCountriesClean[[#This Row],[Record_ID]],tblCountriesRaw[index],tblCountriesRaw[country],"Check")</f>
        <v>Azerbaijan</v>
      </c>
      <c r="C12" s="36" t="str" cm="1">
        <f t="array" ref="C12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AZ</v>
      </c>
      <c r="D12" s="37" cm="1">
        <f t="array" ref="D12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86600</v>
      </c>
      <c r="E12" s="38" cm="1">
        <f t="array" ref="E12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994</v>
      </c>
      <c r="F12" s="36" t="str" cm="1">
        <f t="array" ref="F12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Baku</v>
      </c>
      <c r="G12" s="37" cm="1">
        <f t="array" ref="G12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39207000000</v>
      </c>
      <c r="H12" s="37" cm="1">
        <f t="array" ref="H12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10175016</v>
      </c>
      <c r="I12" s="39" cm="1">
        <f t="array" ref="I12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0.06</v>
      </c>
      <c r="J12" s="36">
        <f>IF(tblCountriesClean[[#This Row],[Data_Quality_Status]]="CHECK","",1+COUNTIFS(tblCountriesClean[GDP_USD],"&gt;"&amp;tblCountriesClean[[#This Row],[GDP_USD]],tblCountriesClean[Data_Quality_Status],"&lt;&gt;CHECK"))</f>
        <v>92</v>
      </c>
      <c r="K12" s="40">
        <f>IF(tblCountriesClean[[#This Row],[Data_Quality_Status]]="CHECK","",IFERROR(tblCountriesClean[[#This Row],[GDP_USD]]/tblCountriesClean[[#This Row],[Population]],""))</f>
        <v>3853.2617540847109</v>
      </c>
      <c r="L12" s="40">
        <f>IF(tblCountriesClean[[#This Row],[Data_Quality_Status]]="CHECK","",IFERROR(tblCountriesClean[[#This Row],[Population]]/tblCountriesClean[[#This Row],[Area_km2]],""))</f>
        <v>117.49441108545035</v>
      </c>
      <c r="M12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3" spans="1:20">
      <c r="A13" s="31">
        <v>12</v>
      </c>
      <c r="B13" s="32" t="str">
        <f>_xlfn.XLOOKUP(tblCountriesClean[[#This Row],[Record_ID]],tblCountriesRaw[index],tblCountriesRaw[country],"Check")</f>
        <v>The Bahamas</v>
      </c>
      <c r="C13" s="36" t="str" cm="1">
        <f t="array" ref="C13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BS</v>
      </c>
      <c r="D13" s="37" cm="1">
        <f t="array" ref="D13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13878</v>
      </c>
      <c r="E13" s="38" cm="1">
        <f t="array" ref="E13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1242</v>
      </c>
      <c r="F13" s="36" t="str" cm="1">
        <f t="array" ref="F13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Nassau, The Bahamas</v>
      </c>
      <c r="G13" s="37" cm="1">
        <f t="array" ref="G13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12827000000</v>
      </c>
      <c r="H13" s="37" cm="1">
        <f t="array" ref="H13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409984</v>
      </c>
      <c r="I13" s="39" cm="1">
        <f t="array" ref="I13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</v>
      </c>
      <c r="J13" s="36">
        <f>IF(tblCountriesClean[[#This Row],[Data_Quality_Status]]="CHECK","",1+COUNTIFS(tblCountriesClean[GDP_USD],"&gt;"&amp;tblCountriesClean[[#This Row],[GDP_USD]],tblCountriesClean[Data_Quality_Status],"&lt;&gt;CHECK"))</f>
        <v>134</v>
      </c>
      <c r="K13" s="40">
        <f>IF(tblCountriesClean[[#This Row],[Data_Quality_Status]]="CHECK","",IFERROR(tblCountriesClean[[#This Row],[GDP_USD]]/tblCountriesClean[[#This Row],[Population]],""))</f>
        <v>31286.58679363097</v>
      </c>
      <c r="L13" s="40">
        <f>IF(tblCountriesClean[[#This Row],[Data_Quality_Status]]="CHECK","",IFERROR(tblCountriesClean[[#This Row],[Population]]/tblCountriesClean[[#This Row],[Area_km2]],""))</f>
        <v>29.542008935005043</v>
      </c>
      <c r="M13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4" spans="1:20">
      <c r="A14" s="31">
        <v>13</v>
      </c>
      <c r="B14" s="32" t="str">
        <f>_xlfn.XLOOKUP(tblCountriesClean[[#This Row],[Record_ID]],tblCountriesRaw[index],tblCountriesRaw[country],"Check")</f>
        <v>Bahrain</v>
      </c>
      <c r="C14" s="36" t="str" cm="1">
        <f t="array" ref="C14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BH</v>
      </c>
      <c r="D14" s="37" cm="1">
        <f t="array" ref="D14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787</v>
      </c>
      <c r="E14" s="38" cm="1">
        <f t="array" ref="E14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973</v>
      </c>
      <c r="F14" s="36" t="str" cm="1">
        <f t="array" ref="F14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Manama</v>
      </c>
      <c r="G14" s="37" cm="1">
        <f t="array" ref="G14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38574069149</v>
      </c>
      <c r="H14" s="37" cm="1">
        <f t="array" ref="H14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1472233</v>
      </c>
      <c r="I14" s="39" cm="1">
        <f t="array" ref="I14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0.01</v>
      </c>
      <c r="J14" s="36">
        <f>IF(tblCountriesClean[[#This Row],[Data_Quality_Status]]="CHECK","",1+COUNTIFS(tblCountriesClean[GDP_USD],"&gt;"&amp;tblCountriesClean[[#This Row],[GDP_USD]],tblCountriesClean[Data_Quality_Status],"&lt;&gt;CHECK"))</f>
        <v>95</v>
      </c>
      <c r="K14" s="40">
        <f>IF(tblCountriesClean[[#This Row],[Data_Quality_Status]]="CHECK","",IFERROR(tblCountriesClean[[#This Row],[GDP_USD]]/tblCountriesClean[[#This Row],[Population]],""))</f>
        <v>26201.0627047485</v>
      </c>
      <c r="L14" s="40">
        <f>IF(tblCountriesClean[[#This Row],[Data_Quality_Status]]="CHECK","",IFERROR(tblCountriesClean[[#This Row],[Population]]/tblCountriesClean[[#This Row],[Area_km2]],""))</f>
        <v>1870.6899618805592</v>
      </c>
      <c r="M14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5" spans="1:20">
      <c r="A15" s="31">
        <v>14</v>
      </c>
      <c r="B15" s="32" t="str">
        <f>_xlfn.XLOOKUP(tblCountriesClean[[#This Row],[Record_ID]],tblCountriesRaw[index],tblCountriesRaw[country],"Check")</f>
        <v>Bangladesh</v>
      </c>
      <c r="C15" s="36" t="str" cm="1">
        <f t="array" ref="C15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BD</v>
      </c>
      <c r="D15" s="37" cm="1">
        <f t="array" ref="D15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147570</v>
      </c>
      <c r="E15" s="38" cm="1">
        <f t="array" ref="E15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880</v>
      </c>
      <c r="F15" s="36" t="str" cm="1">
        <f t="array" ref="F15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Dhaka</v>
      </c>
      <c r="G15" s="37" cm="1">
        <f t="array" ref="G15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302571254131</v>
      </c>
      <c r="H15" s="37" cm="1">
        <f t="array" ref="H15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171186372</v>
      </c>
      <c r="I15" s="39" cm="1">
        <f t="array" ref="I15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0.04</v>
      </c>
      <c r="J15" s="36">
        <f>IF(tblCountriesClean[[#This Row],[Data_Quality_Status]]="CHECK","",1+COUNTIFS(tblCountriesClean[GDP_USD],"&gt;"&amp;tblCountriesClean[[#This Row],[GDP_USD]],tblCountriesClean[Data_Quality_Status],"&lt;&gt;CHECK"))</f>
        <v>42</v>
      </c>
      <c r="K15" s="40">
        <f>IF(tblCountriesClean[[#This Row],[Data_Quality_Status]]="CHECK","",IFERROR(tblCountriesClean[[#This Row],[GDP_USD]]/tblCountriesClean[[#This Row],[Population]],""))</f>
        <v>1767.4961540221204</v>
      </c>
      <c r="L15" s="40">
        <f>IF(tblCountriesClean[[#This Row],[Data_Quality_Status]]="CHECK","",IFERROR(tblCountriesClean[[#This Row],[Population]]/tblCountriesClean[[#This Row],[Area_km2]],""))</f>
        <v>1160.0350477739378</v>
      </c>
      <c r="M15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6" spans="1:20">
      <c r="A16" s="31">
        <v>15</v>
      </c>
      <c r="B16" s="32" t="str">
        <f>_xlfn.XLOOKUP(tblCountriesClean[[#This Row],[Record_ID]],tblCountriesRaw[index],tblCountriesRaw[country],"Check")</f>
        <v>Barbados</v>
      </c>
      <c r="C16" s="36" t="str" cm="1">
        <f t="array" ref="C16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BB</v>
      </c>
      <c r="D16" s="37" cm="1">
        <f t="array" ref="D16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439</v>
      </c>
      <c r="E16" s="38" cm="1">
        <f t="array" ref="E16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1246</v>
      </c>
      <c r="F16" s="36" t="str" cm="1">
        <f t="array" ref="F16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Bridgetown</v>
      </c>
      <c r="G16" s="37" cm="1">
        <f t="array" ref="G16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5209000000</v>
      </c>
      <c r="H16" s="37" cm="1">
        <f t="array" ref="H16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281635</v>
      </c>
      <c r="I16" s="39" cm="1">
        <f t="array" ref="I16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</v>
      </c>
      <c r="J16" s="36">
        <f>IF(tblCountriesClean[[#This Row],[Data_Quality_Status]]="CHECK","",1+COUNTIFS(tblCountriesClean[GDP_USD],"&gt;"&amp;tblCountriesClean[[#This Row],[GDP_USD]],tblCountriesClean[Data_Quality_Status],"&lt;&gt;CHECK"))</f>
        <v>155</v>
      </c>
      <c r="K16" s="40">
        <f>IF(tblCountriesClean[[#This Row],[Data_Quality_Status]]="CHECK","",IFERROR(tblCountriesClean[[#This Row],[GDP_USD]]/tblCountriesClean[[#This Row],[Population]],""))</f>
        <v>18495.570507926928</v>
      </c>
      <c r="L16" s="40">
        <f>IF(tblCountriesClean[[#This Row],[Data_Quality_Status]]="CHECK","",IFERROR(tblCountriesClean[[#This Row],[Population]]/tblCountriesClean[[#This Row],[Area_km2]],""))</f>
        <v>641.53758542141225</v>
      </c>
      <c r="M16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7" spans="1:13">
      <c r="A17" s="31">
        <v>16</v>
      </c>
      <c r="B17" s="32" t="str">
        <f>_xlfn.XLOOKUP(tblCountriesClean[[#This Row],[Record_ID]],tblCountriesRaw[index],tblCountriesRaw[country],"Check")</f>
        <v>Belarus</v>
      </c>
      <c r="C17" s="36" t="str" cm="1">
        <f t="array" ref="C17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BY</v>
      </c>
      <c r="D17" s="37" cm="1">
        <f t="array" ref="D17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207595</v>
      </c>
      <c r="E17" s="38" cm="1">
        <f t="array" ref="E17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375</v>
      </c>
      <c r="F17" s="36" t="str" cm="1">
        <f t="array" ref="F17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Minsk</v>
      </c>
      <c r="G17" s="37" cm="1">
        <f t="array" ref="G17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63080457023</v>
      </c>
      <c r="H17" s="37" cm="1">
        <f t="array" ref="H17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9208701</v>
      </c>
      <c r="I17" s="39" cm="1">
        <f t="array" ref="I17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0.05</v>
      </c>
      <c r="J17" s="36">
        <f>IF(tblCountriesClean[[#This Row],[Data_Quality_Status]]="CHECK","",1+COUNTIFS(tblCountriesClean[GDP_USD],"&gt;"&amp;tblCountriesClean[[#This Row],[GDP_USD]],tblCountriesClean[Data_Quality_Status],"&lt;&gt;CHECK"))</f>
        <v>76</v>
      </c>
      <c r="K17" s="40">
        <f>IF(tblCountriesClean[[#This Row],[Data_Quality_Status]]="CHECK","",IFERROR(tblCountriesClean[[#This Row],[GDP_USD]]/tblCountriesClean[[#This Row],[Population]],""))</f>
        <v>6850.0928657581562</v>
      </c>
      <c r="L17" s="40">
        <f>IF(tblCountriesClean[[#This Row],[Data_Quality_Status]]="CHECK","",IFERROR(tblCountriesClean[[#This Row],[Population]]/tblCountriesClean[[#This Row],[Area_km2]],""))</f>
        <v>44.358973000313107</v>
      </c>
      <c r="M17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8" spans="1:13">
      <c r="A18" s="31">
        <v>17</v>
      </c>
      <c r="B18" s="32" t="str">
        <f>_xlfn.XLOOKUP(tblCountriesClean[[#This Row],[Record_ID]],tblCountriesRaw[index],tblCountriesRaw[country],"Check")</f>
        <v>Belgium</v>
      </c>
      <c r="C18" s="36" t="str" cm="1">
        <f t="array" ref="C18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BE</v>
      </c>
      <c r="D18" s="37" cm="1">
        <f t="array" ref="D18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30688</v>
      </c>
      <c r="E18" s="38" cm="1">
        <f t="array" ref="E18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32</v>
      </c>
      <c r="F18" s="36" t="str" cm="1">
        <f t="array" ref="F18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City of Brussels</v>
      </c>
      <c r="G18" s="37" cm="1">
        <f t="array" ref="G18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529606710418</v>
      </c>
      <c r="H18" s="37" cm="1">
        <f t="array" ref="H18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11669446</v>
      </c>
      <c r="I18" s="39" cm="1">
        <f t="array" ref="I18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0.06</v>
      </c>
      <c r="J18" s="36">
        <f>IF(tblCountriesClean[[#This Row],[Data_Quality_Status]]="CHECK","",1+COUNTIFS(tblCountriesClean[GDP_USD],"&gt;"&amp;tblCountriesClean[[#This Row],[GDP_USD]],tblCountriesClean[Data_Quality_Status],"&lt;&gt;CHECK"))</f>
        <v>24</v>
      </c>
      <c r="K18" s="40">
        <f>IF(tblCountriesClean[[#This Row],[Data_Quality_Status]]="CHECK","",IFERROR(tblCountriesClean[[#This Row],[GDP_USD]]/tblCountriesClean[[#This Row],[Population]],""))</f>
        <v>45384.049115784932</v>
      </c>
      <c r="L18" s="40">
        <f>IF(tblCountriesClean[[#This Row],[Data_Quality_Status]]="CHECK","",IFERROR(tblCountriesClean[[#This Row],[Population]]/tblCountriesClean[[#This Row],[Area_km2]],""))</f>
        <v>380.26088373305527</v>
      </c>
      <c r="M18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9" spans="1:13">
      <c r="A19" s="31">
        <v>18</v>
      </c>
      <c r="B19" s="32" t="str">
        <f>_xlfn.XLOOKUP(tblCountriesClean[[#This Row],[Record_ID]],tblCountriesRaw[index],tblCountriesRaw[country],"Check")</f>
        <v>Belize</v>
      </c>
      <c r="C19" s="36" t="str" cm="1">
        <f t="array" ref="C19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BZ</v>
      </c>
      <c r="D19" s="37" cm="1">
        <f t="array" ref="D19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22966</v>
      </c>
      <c r="E19" s="38" cm="1">
        <f t="array" ref="E19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501</v>
      </c>
      <c r="F19" s="36" t="str" cm="1">
        <f t="array" ref="F19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Belmopan</v>
      </c>
      <c r="G19" s="37" cm="1">
        <f t="array" ref="G19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1879613600</v>
      </c>
      <c r="H19" s="37" cm="1">
        <f t="array" ref="H19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405272</v>
      </c>
      <c r="I19" s="39" cm="1">
        <f t="array" ref="I19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0.06</v>
      </c>
      <c r="J19" s="36">
        <f>IF(tblCountriesClean[[#This Row],[Data_Quality_Status]]="CHECK","",1+COUNTIFS(tblCountriesClean[GDP_USD],"&gt;"&amp;tblCountriesClean[[#This Row],[GDP_USD]],tblCountriesClean[Data_Quality_Status],"&lt;&gt;CHECK"))</f>
        <v>171</v>
      </c>
      <c r="K19" s="40">
        <f>IF(tblCountriesClean[[#This Row],[Data_Quality_Status]]="CHECK","",IFERROR(tblCountriesClean[[#This Row],[GDP_USD]]/tblCountriesClean[[#This Row],[Population]],""))</f>
        <v>4637.90639373063</v>
      </c>
      <c r="L19" s="40">
        <f>IF(tblCountriesClean[[#This Row],[Data_Quality_Status]]="CHECK","",IFERROR(tblCountriesClean[[#This Row],[Population]]/tblCountriesClean[[#This Row],[Area_km2]],""))</f>
        <v>17.646608029260648</v>
      </c>
      <c r="M19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20" spans="1:13">
      <c r="A20" s="31">
        <v>19</v>
      </c>
      <c r="B20" s="32" t="str">
        <f>_xlfn.XLOOKUP(tblCountriesClean[[#This Row],[Record_ID]],tblCountriesRaw[index],tblCountriesRaw[country],"Check")</f>
        <v>Benin</v>
      </c>
      <c r="C20" s="36" t="str" cm="1">
        <f t="array" ref="C20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BJ</v>
      </c>
      <c r="D20" s="37" cm="1">
        <f t="array" ref="D20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114763</v>
      </c>
      <c r="E20" s="38" cm="1">
        <f t="array" ref="E20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229</v>
      </c>
      <c r="F20" s="36" t="str" cm="1">
        <f t="array" ref="F20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Porto-Novo</v>
      </c>
      <c r="G20" s="37" cm="1">
        <f t="array" ref="G20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14390709095</v>
      </c>
      <c r="H20" s="37" cm="1">
        <f t="array" ref="H20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13352864</v>
      </c>
      <c r="I20" s="39" cm="1">
        <f t="array" ref="I20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0.02</v>
      </c>
      <c r="J20" s="36">
        <f>IF(tblCountriesClean[[#This Row],[Data_Quality_Status]]="CHECK","",1+COUNTIFS(tblCountriesClean[GDP_USD],"&gt;"&amp;tblCountriesClean[[#This Row],[GDP_USD]],tblCountriesClean[Data_Quality_Status],"&lt;&gt;CHECK"))</f>
        <v>126</v>
      </c>
      <c r="K20" s="40">
        <f>IF(tblCountriesClean[[#This Row],[Data_Quality_Status]]="CHECK","",IFERROR(tblCountriesClean[[#This Row],[GDP_USD]]/tblCountriesClean[[#This Row],[Population]],""))</f>
        <v>1077.7245312316518</v>
      </c>
      <c r="L20" s="40">
        <f>IF(tblCountriesClean[[#This Row],[Data_Quality_Status]]="CHECK","",IFERROR(tblCountriesClean[[#This Row],[Population]]/tblCountriesClean[[#This Row],[Area_km2]],""))</f>
        <v>116.35164643656928</v>
      </c>
      <c r="M20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21" spans="1:13">
      <c r="A21" s="31">
        <v>20</v>
      </c>
      <c r="B21" s="32" t="str">
        <f>_xlfn.XLOOKUP(tblCountriesClean[[#This Row],[Record_ID]],tblCountriesRaw[index],tblCountriesRaw[country],"Check")</f>
        <v>Bhutan</v>
      </c>
      <c r="C21" s="36" t="str" cm="1">
        <f t="array" ref="C21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BT</v>
      </c>
      <c r="D21" s="37" cm="1">
        <f t="array" ref="D21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38394</v>
      </c>
      <c r="E21" s="38" cm="1">
        <f t="array" ref="E21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975</v>
      </c>
      <c r="F21" s="36" t="str" cm="1">
        <f t="array" ref="F21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Thimphu</v>
      </c>
      <c r="G21" s="37" cm="1">
        <f t="array" ref="G21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2446674101</v>
      </c>
      <c r="H21" s="37" cm="1">
        <f t="array" ref="H21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782455</v>
      </c>
      <c r="I21" s="39" cm="1">
        <f t="array" ref="I21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0.02</v>
      </c>
      <c r="J21" s="36">
        <f>IF(tblCountriesClean[[#This Row],[Data_Quality_Status]]="CHECK","",1+COUNTIFS(tblCountriesClean[GDP_USD],"&gt;"&amp;tblCountriesClean[[#This Row],[GDP_USD]],tblCountriesClean[Data_Quality_Status],"&lt;&gt;CHECK"))</f>
        <v>166</v>
      </c>
      <c r="K21" s="40">
        <f>IF(tblCountriesClean[[#This Row],[Data_Quality_Status]]="CHECK","",IFERROR(tblCountriesClean[[#This Row],[GDP_USD]]/tblCountriesClean[[#This Row],[Population]],""))</f>
        <v>3126.9198880446797</v>
      </c>
      <c r="L21" s="40">
        <f>IF(tblCountriesClean[[#This Row],[Data_Quality_Status]]="CHECK","",IFERROR(tblCountriesClean[[#This Row],[Population]]/tblCountriesClean[[#This Row],[Area_km2]],""))</f>
        <v>20.379616606761473</v>
      </c>
      <c r="M21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22" spans="1:13">
      <c r="A22" s="31">
        <v>21</v>
      </c>
      <c r="B22" s="32" t="str">
        <f>_xlfn.XLOOKUP(tblCountriesClean[[#This Row],[Record_ID]],tblCountriesRaw[index],tblCountriesRaw[country],"Check")</f>
        <v>Bolivia</v>
      </c>
      <c r="C22" s="36" t="str" cm="1">
        <f t="array" ref="C22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BO</v>
      </c>
      <c r="D22" s="37" cm="1">
        <f t="array" ref="D22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1098581</v>
      </c>
      <c r="E22" s="38" cm="1">
        <f t="array" ref="E22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591</v>
      </c>
      <c r="F22" s="36" t="str" cm="1">
        <f t="array" ref="F22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Sucre</v>
      </c>
      <c r="G22" s="37" cm="1">
        <f t="array" ref="G22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40895322865</v>
      </c>
      <c r="H22" s="37" cm="1">
        <f t="array" ref="H22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12224110</v>
      </c>
      <c r="I22" s="39" cm="1">
        <f t="array" ref="I22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0.03</v>
      </c>
      <c r="J22" s="36">
        <f>IF(tblCountriesClean[[#This Row],[Data_Quality_Status]]="CHECK","",1+COUNTIFS(tblCountriesClean[GDP_USD],"&gt;"&amp;tblCountriesClean[[#This Row],[GDP_USD]],tblCountriesClean[Data_Quality_Status],"&lt;&gt;CHECK"))</f>
        <v>89</v>
      </c>
      <c r="K22" s="40">
        <f>IF(tblCountriesClean[[#This Row],[Data_Quality_Status]]="CHECK","",IFERROR(tblCountriesClean[[#This Row],[GDP_USD]]/tblCountriesClean[[#This Row],[Population]],""))</f>
        <v>3345.4642395233682</v>
      </c>
      <c r="L22" s="40">
        <f>IF(tblCountriesClean[[#This Row],[Data_Quality_Status]]="CHECK","",IFERROR(tblCountriesClean[[#This Row],[Population]]/tblCountriesClean[[#This Row],[Area_km2]],""))</f>
        <v>11.127181336651553</v>
      </c>
      <c r="M22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23" spans="1:13" ht="31.2">
      <c r="A23" s="31">
        <v>22</v>
      </c>
      <c r="B23" s="32" t="str">
        <f>_xlfn.XLOOKUP(tblCountriesClean[[#This Row],[Record_ID]],tblCountriesRaw[index],tblCountriesRaw[country],"Check")</f>
        <v>Bosnia and Herzegovina</v>
      </c>
      <c r="C23" s="36" t="str" cm="1">
        <f t="array" ref="C23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BA</v>
      </c>
      <c r="D23" s="37" cm="1">
        <f t="array" ref="D23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51197</v>
      </c>
      <c r="E23" s="38" cm="1">
        <f t="array" ref="E23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387</v>
      </c>
      <c r="F23" s="36" t="str" cm="1">
        <f t="array" ref="F23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Sarajevo</v>
      </c>
      <c r="G23" s="37" cm="1">
        <f t="array" ref="G23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20047848435</v>
      </c>
      <c r="H23" s="37" cm="1">
        <f t="array" ref="H23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3233526</v>
      </c>
      <c r="I23" s="39" cm="1">
        <f t="array" ref="I23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0.18</v>
      </c>
      <c r="J23" s="36">
        <f>IF(tblCountriesClean[[#This Row],[Data_Quality_Status]]="CHECK","",1+COUNTIFS(tblCountriesClean[GDP_USD],"&gt;"&amp;tblCountriesClean[[#This Row],[GDP_USD]],tblCountriesClean[Data_Quality_Status],"&lt;&gt;CHECK"))</f>
        <v>113</v>
      </c>
      <c r="K23" s="40">
        <f>IF(tblCountriesClean[[#This Row],[Data_Quality_Status]]="CHECK","",IFERROR(tblCountriesClean[[#This Row],[GDP_USD]]/tblCountriesClean[[#This Row],[Population]],""))</f>
        <v>6199.9960522970896</v>
      </c>
      <c r="L23" s="40">
        <f>IF(tblCountriesClean[[#This Row],[Data_Quality_Status]]="CHECK","",IFERROR(tblCountriesClean[[#This Row],[Population]]/tblCountriesClean[[#This Row],[Area_km2]],""))</f>
        <v>63.158505381174677</v>
      </c>
      <c r="M23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24" spans="1:13">
      <c r="A24" s="31">
        <v>23</v>
      </c>
      <c r="B24" s="32" t="str">
        <f>_xlfn.XLOOKUP(tblCountriesClean[[#This Row],[Record_ID]],tblCountriesRaw[index],tblCountriesRaw[country],"Check")</f>
        <v>Botswana</v>
      </c>
      <c r="C24" s="36" t="str" cm="1">
        <f t="array" ref="C24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BW</v>
      </c>
      <c r="D24" s="37" cm="1">
        <f t="array" ref="D24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581737</v>
      </c>
      <c r="E24" s="38" cm="1">
        <f t="array" ref="E24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267</v>
      </c>
      <c r="F24" s="36" t="str" cm="1">
        <f t="array" ref="F24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Gaborone</v>
      </c>
      <c r="G24" s="37" cm="1">
        <f t="array" ref="G24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18340510789</v>
      </c>
      <c r="H24" s="37" cm="1">
        <f t="array" ref="H24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2630296</v>
      </c>
      <c r="I24" s="39" cm="1">
        <f t="array" ref="I24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0.18</v>
      </c>
      <c r="J24" s="36">
        <f>IF(tblCountriesClean[[#This Row],[Data_Quality_Status]]="CHECK","",1+COUNTIFS(tblCountriesClean[GDP_USD],"&gt;"&amp;tblCountriesClean[[#This Row],[GDP_USD]],tblCountriesClean[Data_Quality_Status],"&lt;&gt;CHECK"))</f>
        <v>116</v>
      </c>
      <c r="K24" s="40">
        <f>IF(tblCountriesClean[[#This Row],[Data_Quality_Status]]="CHECK","",IFERROR(tblCountriesClean[[#This Row],[GDP_USD]]/tblCountriesClean[[#This Row],[Population]],""))</f>
        <v>6972.7934760954658</v>
      </c>
      <c r="L24" s="40">
        <f>IF(tblCountriesClean[[#This Row],[Data_Quality_Status]]="CHECK","",IFERROR(tblCountriesClean[[#This Row],[Population]]/tblCountriesClean[[#This Row],[Area_km2]],""))</f>
        <v>4.5214521338680536</v>
      </c>
      <c r="M24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25" spans="1:13">
      <c r="A25" s="31">
        <v>24</v>
      </c>
      <c r="B25" s="32" t="str">
        <f>_xlfn.XLOOKUP(tblCountriesClean[[#This Row],[Record_ID]],tblCountriesRaw[index],tblCountriesRaw[country],"Check")</f>
        <v>Brazil</v>
      </c>
      <c r="C25" s="36" t="str" cm="1">
        <f t="array" ref="C25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BR</v>
      </c>
      <c r="D25" s="37" cm="1">
        <f t="array" ref="D25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8515767</v>
      </c>
      <c r="E25" s="38" cm="1">
        <f t="array" ref="E25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55</v>
      </c>
      <c r="F25" s="36" t="str" cm="1">
        <f t="array" ref="F25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Brasília</v>
      </c>
      <c r="G25" s="37" cm="1">
        <f t="array" ref="G25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1839758040766</v>
      </c>
      <c r="H25" s="37" cm="1">
        <f t="array" ref="H25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215313498</v>
      </c>
      <c r="I25" s="39" cm="1">
        <f t="array" ref="I25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0.12</v>
      </c>
      <c r="J25" s="36">
        <f>IF(tblCountriesClean[[#This Row],[Data_Quality_Status]]="CHECK","",1+COUNTIFS(tblCountriesClean[GDP_USD],"&gt;"&amp;tblCountriesClean[[#This Row],[GDP_USD]],tblCountriesClean[Data_Quality_Status],"&lt;&gt;CHECK"))</f>
        <v>10</v>
      </c>
      <c r="K25" s="40">
        <f>IF(tblCountriesClean[[#This Row],[Data_Quality_Status]]="CHECK","",IFERROR(tblCountriesClean[[#This Row],[GDP_USD]]/tblCountriesClean[[#This Row],[Population]],""))</f>
        <v>8544.5550690277669</v>
      </c>
      <c r="L25" s="40">
        <f>IF(tblCountriesClean[[#This Row],[Data_Quality_Status]]="CHECK","",IFERROR(tblCountriesClean[[#This Row],[Population]]/tblCountriesClean[[#This Row],[Area_km2]],""))</f>
        <v>25.284099247900983</v>
      </c>
      <c r="M25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26" spans="1:13">
      <c r="A26" s="31">
        <v>25</v>
      </c>
      <c r="B26" s="32" t="str">
        <f>_xlfn.XLOOKUP(tblCountriesClean[[#This Row],[Record_ID]],tblCountriesRaw[index],tblCountriesRaw[country],"Check")</f>
        <v>Brunei</v>
      </c>
      <c r="C26" s="36" t="str" cm="1">
        <f t="array" ref="C26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BN</v>
      </c>
      <c r="D26" s="37" cm="1">
        <f t="array" ref="D26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5765</v>
      </c>
      <c r="E26" s="38" cm="1">
        <f t="array" ref="E26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673</v>
      </c>
      <c r="F26" s="36" t="str" cm="1">
        <f t="array" ref="F26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Bandar Seri Begawan</v>
      </c>
      <c r="G26" s="37" cm="1">
        <f t="array" ref="G26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13469422941</v>
      </c>
      <c r="H26" s="37" cm="1">
        <f t="array" ref="H26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449002</v>
      </c>
      <c r="I26" s="39" cm="1">
        <f t="array" ref="I26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0.09</v>
      </c>
      <c r="J26" s="36">
        <f>IF(tblCountriesClean[[#This Row],[Data_Quality_Status]]="CHECK","",1+COUNTIFS(tblCountriesClean[GDP_USD],"&gt;"&amp;tblCountriesClean[[#This Row],[GDP_USD]],tblCountriesClean[Data_Quality_Status],"&lt;&gt;CHECK"))</f>
        <v>132</v>
      </c>
      <c r="K26" s="40">
        <f>IF(tblCountriesClean[[#This Row],[Data_Quality_Status]]="CHECK","",IFERROR(tblCountriesClean[[#This Row],[GDP_USD]]/tblCountriesClean[[#This Row],[Population]],""))</f>
        <v>29998.581166676318</v>
      </c>
      <c r="L26" s="40">
        <f>IF(tblCountriesClean[[#This Row],[Data_Quality_Status]]="CHECK","",IFERROR(tblCountriesClean[[#This Row],[Population]]/tblCountriesClean[[#This Row],[Area_km2]],""))</f>
        <v>77.884128360797916</v>
      </c>
      <c r="M26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27" spans="1:13">
      <c r="A27" s="31">
        <v>26</v>
      </c>
      <c r="B27" s="32" t="str">
        <f>_xlfn.XLOOKUP(tblCountriesClean[[#This Row],[Record_ID]],tblCountriesRaw[index],tblCountriesRaw[country],"Check")</f>
        <v>Bulgaria</v>
      </c>
      <c r="C27" s="36" t="str" cm="1">
        <f t="array" ref="C27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BG</v>
      </c>
      <c r="D27" s="37" cm="1">
        <f t="array" ref="D27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110994</v>
      </c>
      <c r="E27" s="38" cm="1">
        <f t="array" ref="E27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359</v>
      </c>
      <c r="F27" s="36" t="str" cm="1">
        <f t="array" ref="F27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Sofia</v>
      </c>
      <c r="G27" s="37" cm="1">
        <f t="array" ref="G27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86000000000</v>
      </c>
      <c r="H27" s="37" cm="1">
        <f t="array" ref="H27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6465097</v>
      </c>
      <c r="I27" s="39" cm="1">
        <f t="array" ref="I27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0.04</v>
      </c>
      <c r="J27" s="36">
        <f>IF(tblCountriesClean[[#This Row],[Data_Quality_Status]]="CHECK","",1+COUNTIFS(tblCountriesClean[GDP_USD],"&gt;"&amp;tblCountriesClean[[#This Row],[GDP_USD]],tblCountriesClean[Data_Quality_Status],"&lt;&gt;CHECK"))</f>
        <v>67</v>
      </c>
      <c r="K27" s="40">
        <f>IF(tblCountriesClean[[#This Row],[Data_Quality_Status]]="CHECK","",IFERROR(tblCountriesClean[[#This Row],[GDP_USD]]/tblCountriesClean[[#This Row],[Population]],""))</f>
        <v>13302.197940726952</v>
      </c>
      <c r="L27" s="40">
        <f>IF(tblCountriesClean[[#This Row],[Data_Quality_Status]]="CHECK","",IFERROR(tblCountriesClean[[#This Row],[Population]]/tblCountriesClean[[#This Row],[Area_km2]],""))</f>
        <v>58.247265617961332</v>
      </c>
      <c r="M27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28" spans="1:13">
      <c r="A28" s="31">
        <v>27</v>
      </c>
      <c r="B28" s="32" t="str">
        <f>_xlfn.XLOOKUP(tblCountriesClean[[#This Row],[Record_ID]],tblCountriesRaw[index],tblCountriesRaw[country],"Check")</f>
        <v>Burkina Faso</v>
      </c>
      <c r="C28" s="36" t="str" cm="1">
        <f t="array" ref="C28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BF</v>
      </c>
      <c r="D28" s="37" cm="1">
        <f t="array" ref="D28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274200</v>
      </c>
      <c r="E28" s="38" cm="1">
        <f t="array" ref="E28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226</v>
      </c>
      <c r="F28" s="36" t="str" cm="1">
        <f t="array" ref="F28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Ouagadougou</v>
      </c>
      <c r="G28" s="37" cm="1">
        <f t="array" ref="G28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15745810235</v>
      </c>
      <c r="H28" s="37" cm="1">
        <f t="array" ref="H28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22673762</v>
      </c>
      <c r="I28" s="39" cm="1">
        <f t="array" ref="I28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0.06</v>
      </c>
      <c r="J28" s="36">
        <f>IF(tblCountriesClean[[#This Row],[Data_Quality_Status]]="CHECK","",1+COUNTIFS(tblCountriesClean[GDP_USD],"&gt;"&amp;tblCountriesClean[[#This Row],[GDP_USD]],tblCountriesClean[Data_Quality_Status],"&lt;&gt;CHECK"))</f>
        <v>122</v>
      </c>
      <c r="K28" s="40">
        <f>IF(tblCountriesClean[[#This Row],[Data_Quality_Status]]="CHECK","",IFERROR(tblCountriesClean[[#This Row],[GDP_USD]]/tblCountriesClean[[#This Row],[Population]],""))</f>
        <v>694.45071510409252</v>
      </c>
      <c r="L28" s="40">
        <f>IF(tblCountriesClean[[#This Row],[Data_Quality_Status]]="CHECK","",IFERROR(tblCountriesClean[[#This Row],[Population]]/tblCountriesClean[[#This Row],[Area_km2]],""))</f>
        <v>82.690598103574033</v>
      </c>
      <c r="M28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29" spans="1:13">
      <c r="A29" s="31">
        <v>28</v>
      </c>
      <c r="B29" s="32" t="str">
        <f>_xlfn.XLOOKUP(tblCountriesClean[[#This Row],[Record_ID]],tblCountriesRaw[index],tblCountriesRaw[country],"Check")</f>
        <v>Burundi</v>
      </c>
      <c r="C29" s="36" t="str" cm="1">
        <f t="array" ref="C29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BI</v>
      </c>
      <c r="D29" s="37" cm="1">
        <f t="array" ref="D29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27834</v>
      </c>
      <c r="E29" s="38" cm="1">
        <f t="array" ref="E29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257</v>
      </c>
      <c r="F29" s="36" t="str" cm="1">
        <f t="array" ref="F29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Gitega</v>
      </c>
      <c r="G29" s="37" cm="1">
        <f t="array" ref="G29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3012334882</v>
      </c>
      <c r="H29" s="37" cm="1">
        <f t="array" ref="H29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12889576</v>
      </c>
      <c r="I29" s="39" cm="1">
        <f t="array" ref="I29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0.01</v>
      </c>
      <c r="J29" s="36">
        <f>IF(tblCountriesClean[[#This Row],[Data_Quality_Status]]="CHECK","",1+COUNTIFS(tblCountriesClean[GDP_USD],"&gt;"&amp;tblCountriesClean[[#This Row],[GDP_USD]],tblCountriesClean[Data_Quality_Status],"&lt;&gt;CHECK"))</f>
        <v>164</v>
      </c>
      <c r="K29" s="40">
        <f>IF(tblCountriesClean[[#This Row],[Data_Quality_Status]]="CHECK","",IFERROR(tblCountriesClean[[#This Row],[GDP_USD]]/tblCountriesClean[[#This Row],[Population]],""))</f>
        <v>233.70317859951328</v>
      </c>
      <c r="L29" s="40">
        <f>IF(tblCountriesClean[[#This Row],[Data_Quality_Status]]="CHECK","",IFERROR(tblCountriesClean[[#This Row],[Population]]/tblCountriesClean[[#This Row],[Area_km2]],""))</f>
        <v>463.08744700725731</v>
      </c>
      <c r="M29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30" spans="1:13">
      <c r="A30" s="31">
        <v>29</v>
      </c>
      <c r="B30" s="32" t="str">
        <f>_xlfn.XLOOKUP(tblCountriesClean[[#This Row],[Record_ID]],tblCountriesRaw[index],tblCountriesRaw[country],"Check")</f>
        <v>Cape Verde</v>
      </c>
      <c r="C30" s="36" t="str" cm="1">
        <f t="array" ref="C30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CV</v>
      </c>
      <c r="D30" s="37" cm="1">
        <f t="array" ref="D30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4033</v>
      </c>
      <c r="E30" s="38" cm="1">
        <f t="array" ref="E30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238</v>
      </c>
      <c r="F30" s="36" t="str" cm="1">
        <f t="array" ref="F30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Praia</v>
      </c>
      <c r="G30" s="37" cm="1">
        <f t="array" ref="G30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1981845741</v>
      </c>
      <c r="H30" s="37" cm="1">
        <f t="array" ref="H30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593149</v>
      </c>
      <c r="I30" s="39" cm="1">
        <f t="array" ref="I30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0.12</v>
      </c>
      <c r="J30" s="36">
        <f>IF(tblCountriesClean[[#This Row],[Data_Quality_Status]]="CHECK","",1+COUNTIFS(tblCountriesClean[GDP_USD],"&gt;"&amp;tblCountriesClean[[#This Row],[GDP_USD]],tblCountriesClean[Data_Quality_Status],"&lt;&gt;CHECK"))</f>
        <v>170</v>
      </c>
      <c r="K30" s="40">
        <f>IF(tblCountriesClean[[#This Row],[Data_Quality_Status]]="CHECK","",IFERROR(tblCountriesClean[[#This Row],[GDP_USD]]/tblCountriesClean[[#This Row],[Population]],""))</f>
        <v>3341.2274841565945</v>
      </c>
      <c r="L30" s="40">
        <f>IF(tblCountriesClean[[#This Row],[Data_Quality_Status]]="CHECK","",IFERROR(tblCountriesClean[[#This Row],[Population]]/tblCountriesClean[[#This Row],[Area_km2]],""))</f>
        <v>147.07389040416564</v>
      </c>
      <c r="M30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31" spans="1:13">
      <c r="A31" s="31">
        <v>30</v>
      </c>
      <c r="B31" s="32" t="str">
        <f>_xlfn.XLOOKUP(tblCountriesClean[[#This Row],[Record_ID]],tblCountriesRaw[index],tblCountriesRaw[country],"Check")</f>
        <v>Cambodia</v>
      </c>
      <c r="C31" s="36" t="str" cm="1">
        <f t="array" ref="C31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KH</v>
      </c>
      <c r="D31" s="37" cm="1">
        <f t="array" ref="D31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181035</v>
      </c>
      <c r="E31" s="38" cm="1">
        <f t="array" ref="E31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855</v>
      </c>
      <c r="F31" s="36" t="str" cm="1">
        <f t="array" ref="F31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Phnom Penh</v>
      </c>
      <c r="G31" s="37" cm="1">
        <f t="array" ref="G31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27089389787</v>
      </c>
      <c r="H31" s="37" cm="1">
        <f t="array" ref="H31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16767842</v>
      </c>
      <c r="I31" s="39" cm="1">
        <f t="array" ref="I31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0.01</v>
      </c>
      <c r="J31" s="36">
        <f>IF(tblCountriesClean[[#This Row],[Data_Quality_Status]]="CHECK","",1+COUNTIFS(tblCountriesClean[GDP_USD],"&gt;"&amp;tblCountriesClean[[#This Row],[GDP_USD]],tblCountriesClean[Data_Quality_Status],"&lt;&gt;CHECK"))</f>
        <v>102</v>
      </c>
      <c r="K31" s="40">
        <f>IF(tblCountriesClean[[#This Row],[Data_Quality_Status]]="CHECK","",IFERROR(tblCountriesClean[[#This Row],[GDP_USD]]/tblCountriesClean[[#This Row],[Population]],""))</f>
        <v>1615.5561214734728</v>
      </c>
      <c r="L31" s="40">
        <f>IF(tblCountriesClean[[#This Row],[Data_Quality_Status]]="CHECK","",IFERROR(tblCountriesClean[[#This Row],[Population]]/tblCountriesClean[[#This Row],[Area_km2]],""))</f>
        <v>92.622100698759908</v>
      </c>
      <c r="M31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32" spans="1:13">
      <c r="A32" s="31">
        <v>31</v>
      </c>
      <c r="B32" s="32" t="str">
        <f>_xlfn.XLOOKUP(tblCountriesClean[[#This Row],[Record_ID]],tblCountriesRaw[index],tblCountriesRaw[country],"Check")</f>
        <v>Cameroon</v>
      </c>
      <c r="C32" s="36" t="str" cm="1">
        <f t="array" ref="C32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CM</v>
      </c>
      <c r="D32" s="37" cm="1">
        <f t="array" ref="D32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475442</v>
      </c>
      <c r="E32" s="38" cm="1">
        <f t="array" ref="E32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237</v>
      </c>
      <c r="F32" s="36" t="str" cm="1">
        <f t="array" ref="F32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Yaoundé</v>
      </c>
      <c r="G32" s="37" cm="1">
        <f t="array" ref="G32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38760467033</v>
      </c>
      <c r="H32" s="37" cm="1">
        <f t="array" ref="H32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27914536</v>
      </c>
      <c r="I32" s="39" cm="1">
        <f t="array" ref="I32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0.03</v>
      </c>
      <c r="J32" s="36">
        <f>IF(tblCountriesClean[[#This Row],[Data_Quality_Status]]="CHECK","",1+COUNTIFS(tblCountriesClean[GDP_USD],"&gt;"&amp;tblCountriesClean[[#This Row],[GDP_USD]],tblCountriesClean[Data_Quality_Status],"&lt;&gt;CHECK"))</f>
        <v>94</v>
      </c>
      <c r="K32" s="40">
        <f>IF(tblCountriesClean[[#This Row],[Data_Quality_Status]]="CHECK","",IFERROR(tblCountriesClean[[#This Row],[GDP_USD]]/tblCountriesClean[[#This Row],[Population]],""))</f>
        <v>1388.5406167238459</v>
      </c>
      <c r="L32" s="40">
        <f>IF(tblCountriesClean[[#This Row],[Data_Quality_Status]]="CHECK","",IFERROR(tblCountriesClean[[#This Row],[Population]]/tblCountriesClean[[#This Row],[Area_km2]],""))</f>
        <v>58.712810395379456</v>
      </c>
      <c r="M32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33" spans="1:13">
      <c r="A33" s="31">
        <v>32</v>
      </c>
      <c r="B33" s="32" t="str">
        <f>_xlfn.XLOOKUP(tblCountriesClean[[#This Row],[Record_ID]],tblCountriesRaw[index],tblCountriesRaw[country],"Check")</f>
        <v>Canada</v>
      </c>
      <c r="C33" s="36" t="str" cm="1">
        <f t="array" ref="C33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CA</v>
      </c>
      <c r="D33" s="37" cm="1">
        <f t="array" ref="D33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9984670</v>
      </c>
      <c r="E33" s="38" cm="1">
        <f t="array" ref="E33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1</v>
      </c>
      <c r="F33" s="36" t="str" cm="1">
        <f t="array" ref="F33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Ottawa</v>
      </c>
      <c r="G33" s="37" cm="1">
        <f t="array" ref="G33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1736425629520</v>
      </c>
      <c r="H33" s="37" cm="1">
        <f t="array" ref="H33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38929902</v>
      </c>
      <c r="I33" s="39" cm="1">
        <f t="array" ref="I33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0.06</v>
      </c>
      <c r="J33" s="36">
        <f>IF(tblCountriesClean[[#This Row],[Data_Quality_Status]]="CHECK","",1+COUNTIFS(tblCountriesClean[GDP_USD],"&gt;"&amp;tblCountriesClean[[#This Row],[GDP_USD]],tblCountriesClean[Data_Quality_Status],"&lt;&gt;CHECK"))</f>
        <v>11</v>
      </c>
      <c r="K33" s="40">
        <f>IF(tblCountriesClean[[#This Row],[Data_Quality_Status]]="CHECK","",IFERROR(tblCountriesClean[[#This Row],[GDP_USD]]/tblCountriesClean[[#This Row],[Population]],""))</f>
        <v>44603.904461922357</v>
      </c>
      <c r="L33" s="40">
        <f>IF(tblCountriesClean[[#This Row],[Data_Quality_Status]]="CHECK","",IFERROR(tblCountriesClean[[#This Row],[Population]]/tblCountriesClean[[#This Row],[Area_km2]],""))</f>
        <v>3.8989673168968029</v>
      </c>
      <c r="M33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34" spans="1:13" ht="31.2">
      <c r="A34" s="31">
        <v>33</v>
      </c>
      <c r="B34" s="32" t="str">
        <f>_xlfn.XLOOKUP(tblCountriesClean[[#This Row],[Record_ID]],tblCountriesRaw[index],tblCountriesRaw[country],"Check")</f>
        <v>Central African Republic</v>
      </c>
      <c r="C34" s="36" t="str" cm="1">
        <f t="array" ref="C34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CF</v>
      </c>
      <c r="D34" s="37" cm="1">
        <f t="array" ref="D34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622984</v>
      </c>
      <c r="E34" s="38" cm="1">
        <f t="array" ref="E34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236</v>
      </c>
      <c r="F34" s="36" t="str" cm="1">
        <f t="array" ref="F34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Bangui</v>
      </c>
      <c r="G34" s="37" cm="1">
        <f t="array" ref="G34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2220307369</v>
      </c>
      <c r="H34" s="37" cm="1">
        <f t="array" ref="H34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5579144</v>
      </c>
      <c r="I34" s="39" cm="1">
        <f t="array" ref="I34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0.04</v>
      </c>
      <c r="J34" s="36">
        <f>IF(tblCountriesClean[[#This Row],[Data_Quality_Status]]="CHECK","",1+COUNTIFS(tblCountriesClean[GDP_USD],"&gt;"&amp;tblCountriesClean[[#This Row],[GDP_USD]],tblCountriesClean[Data_Quality_Status],"&lt;&gt;CHECK"))</f>
        <v>167</v>
      </c>
      <c r="K34" s="40">
        <f>IF(tblCountriesClean[[#This Row],[Data_Quality_Status]]="CHECK","",IFERROR(tblCountriesClean[[#This Row],[GDP_USD]]/tblCountriesClean[[#This Row],[Population]],""))</f>
        <v>397.96559633520843</v>
      </c>
      <c r="L34" s="40">
        <f>IF(tblCountriesClean[[#This Row],[Data_Quality_Status]]="CHECK","",IFERROR(tblCountriesClean[[#This Row],[Population]]/tblCountriesClean[[#This Row],[Area_km2]],""))</f>
        <v>8.9555173166566071</v>
      </c>
      <c r="M34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35" spans="1:13">
      <c r="A35" s="31">
        <v>34</v>
      </c>
      <c r="B35" s="32" t="str">
        <f>_xlfn.XLOOKUP(tblCountriesClean[[#This Row],[Record_ID]],tblCountriesRaw[index],tblCountriesRaw[country],"Check")</f>
        <v>Chad</v>
      </c>
      <c r="C35" s="36" t="str" cm="1">
        <f t="array" ref="C35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TD</v>
      </c>
      <c r="D35" s="37" cm="1">
        <f t="array" ref="D35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1284000</v>
      </c>
      <c r="E35" s="38" cm="1">
        <f t="array" ref="E35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235</v>
      </c>
      <c r="F35" s="36" t="str" cm="1">
        <f t="array" ref="F35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N'Djamena</v>
      </c>
      <c r="G35" s="37" cm="1">
        <f t="array" ref="G35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11314951343</v>
      </c>
      <c r="H35" s="37" cm="1">
        <f t="array" ref="H35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17723315</v>
      </c>
      <c r="I35" s="39" cm="1">
        <f t="array" ref="I35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0.02</v>
      </c>
      <c r="J35" s="36">
        <f>IF(tblCountriesClean[[#This Row],[Data_Quality_Status]]="CHECK","",1+COUNTIFS(tblCountriesClean[GDP_USD],"&gt;"&amp;tblCountriesClean[[#This Row],[GDP_USD]],tblCountriesClean[Data_Quality_Status],"&lt;&gt;CHECK"))</f>
        <v>139</v>
      </c>
      <c r="K35" s="40">
        <f>IF(tblCountriesClean[[#This Row],[Data_Quality_Status]]="CHECK","",IFERROR(tblCountriesClean[[#This Row],[GDP_USD]]/tblCountriesClean[[#This Row],[Population]],""))</f>
        <v>638.42183829605244</v>
      </c>
      <c r="L35" s="40">
        <f>IF(tblCountriesClean[[#This Row],[Data_Quality_Status]]="CHECK","",IFERROR(tblCountriesClean[[#This Row],[Population]]/tblCountriesClean[[#This Row],[Area_km2]],""))</f>
        <v>13.803204828660435</v>
      </c>
      <c r="M35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36" spans="1:13">
      <c r="A36" s="31">
        <v>35</v>
      </c>
      <c r="B36" s="32" t="str">
        <f>_xlfn.XLOOKUP(tblCountriesClean[[#This Row],[Record_ID]],tblCountriesRaw[index],tblCountriesRaw[country],"Check")</f>
        <v>Chile</v>
      </c>
      <c r="C36" s="36" t="str" cm="1">
        <f t="array" ref="C36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CL</v>
      </c>
      <c r="D36" s="37" cm="1">
        <f t="array" ref="D36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756102</v>
      </c>
      <c r="E36" s="38" cm="1">
        <f t="array" ref="E36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56</v>
      </c>
      <c r="F36" s="36" t="str" cm="1">
        <f t="array" ref="F36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Santiago</v>
      </c>
      <c r="G36" s="37" cm="1">
        <f t="array" ref="G36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282318159745</v>
      </c>
      <c r="H36" s="37" cm="1">
        <f t="array" ref="H36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19603733</v>
      </c>
      <c r="I36" s="39" cm="1">
        <f t="array" ref="I36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7.0000000000000007E-2</v>
      </c>
      <c r="J36" s="36">
        <f>IF(tblCountriesClean[[#This Row],[Data_Quality_Status]]="CHECK","",1+COUNTIFS(tblCountriesClean[GDP_USD],"&gt;"&amp;tblCountriesClean[[#This Row],[GDP_USD]],tblCountriesClean[Data_Quality_Status],"&lt;&gt;CHECK"))</f>
        <v>43</v>
      </c>
      <c r="K36" s="40">
        <f>IF(tblCountriesClean[[#This Row],[Data_Quality_Status]]="CHECK","",IFERROR(tblCountriesClean[[#This Row],[GDP_USD]]/tblCountriesClean[[#This Row],[Population]],""))</f>
        <v>14401.244892745683</v>
      </c>
      <c r="L36" s="40">
        <f>IF(tblCountriesClean[[#This Row],[Data_Quality_Status]]="CHECK","",IFERROR(tblCountriesClean[[#This Row],[Population]]/tblCountriesClean[[#This Row],[Area_km2]],""))</f>
        <v>25.927365619982488</v>
      </c>
      <c r="M36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37" spans="1:13">
      <c r="A37" s="31">
        <v>36</v>
      </c>
      <c r="B37" s="32" t="str">
        <f>_xlfn.XLOOKUP(tblCountriesClean[[#This Row],[Record_ID]],tblCountriesRaw[index],tblCountriesRaw[country],"Check")</f>
        <v>China</v>
      </c>
      <c r="C37" s="36" t="str" cm="1">
        <f t="array" ref="C37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CN</v>
      </c>
      <c r="D37" s="37" cm="1">
        <f t="array" ref="D37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9596961</v>
      </c>
      <c r="E37" s="38" cm="1">
        <f t="array" ref="E37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86</v>
      </c>
      <c r="F37" s="36" t="str" cm="1">
        <f t="array" ref="F37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Beijing</v>
      </c>
      <c r="G37" s="37" cm="1">
        <f t="array" ref="G37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19910000000000</v>
      </c>
      <c r="H37" s="37" cm="1">
        <f t="array" ref="H37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1412175000</v>
      </c>
      <c r="I37" s="39" cm="1">
        <f t="array" ref="I37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0.04</v>
      </c>
      <c r="J37" s="36">
        <f>IF(tblCountriesClean[[#This Row],[Data_Quality_Status]]="CHECK","",1+COUNTIFS(tblCountriesClean[GDP_USD],"&gt;"&amp;tblCountriesClean[[#This Row],[GDP_USD]],tblCountriesClean[Data_Quality_Status],"&lt;&gt;CHECK"))</f>
        <v>2</v>
      </c>
      <c r="K37" s="40">
        <f>IF(tblCountriesClean[[#This Row],[Data_Quality_Status]]="CHECK","",IFERROR(tblCountriesClean[[#This Row],[GDP_USD]]/tblCountriesClean[[#This Row],[Population]],""))</f>
        <v>14098.81919733744</v>
      </c>
      <c r="L37" s="40">
        <f>IF(tblCountriesClean[[#This Row],[Data_Quality_Status]]="CHECK","",IFERROR(tblCountriesClean[[#This Row],[Population]]/tblCountriesClean[[#This Row],[Area_km2]],""))</f>
        <v>147.14814408436172</v>
      </c>
      <c r="M37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38" spans="1:13">
      <c r="A38" s="31">
        <v>37</v>
      </c>
      <c r="B38" s="32" t="str">
        <f>_xlfn.XLOOKUP(tblCountriesClean[[#This Row],[Record_ID]],tblCountriesRaw[index],tblCountriesRaw[country],"Check")</f>
        <v>Colombia</v>
      </c>
      <c r="C38" s="36" t="str" cm="1">
        <f t="array" ref="C38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CO</v>
      </c>
      <c r="D38" s="37" cm="1">
        <f t="array" ref="D38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1141748</v>
      </c>
      <c r="E38" s="38" cm="1">
        <f t="array" ref="E38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57</v>
      </c>
      <c r="F38" s="36" t="str" cm="1">
        <f t="array" ref="F38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Bogotá</v>
      </c>
      <c r="G38" s="37" cm="1">
        <f t="array" ref="G38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323802808108</v>
      </c>
      <c r="H38" s="37" cm="1">
        <f t="array" ref="H38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51874024</v>
      </c>
      <c r="I38" s="39" cm="1">
        <f t="array" ref="I38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</v>
      </c>
      <c r="J38" s="36">
        <f>IF(tblCountriesClean[[#This Row],[Data_Quality_Status]]="CHECK","",1+COUNTIFS(tblCountriesClean[GDP_USD],"&gt;"&amp;tblCountriesClean[[#This Row],[GDP_USD]],tblCountriesClean[Data_Quality_Status],"&lt;&gt;CHECK"))</f>
        <v>39</v>
      </c>
      <c r="K38" s="40">
        <f>IF(tblCountriesClean[[#This Row],[Data_Quality_Status]]="CHECK","",IFERROR(tblCountriesClean[[#This Row],[GDP_USD]]/tblCountriesClean[[#This Row],[Population]],""))</f>
        <v>6242.0992847595553</v>
      </c>
      <c r="L38" s="40">
        <f>IF(tblCountriesClean[[#This Row],[Data_Quality_Status]]="CHECK","",IFERROR(tblCountriesClean[[#This Row],[Population]]/tblCountriesClean[[#This Row],[Area_km2]],""))</f>
        <v>45.433864565560874</v>
      </c>
      <c r="M38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39" spans="1:13">
      <c r="A39" s="31">
        <v>38</v>
      </c>
      <c r="B39" s="32" t="str">
        <f>_xlfn.XLOOKUP(tblCountriesClean[[#This Row],[Record_ID]],tblCountriesRaw[index],tblCountriesRaw[country],"Check")</f>
        <v>Comoros</v>
      </c>
      <c r="C39" s="36" t="str" cm="1">
        <f t="array" ref="C39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KM</v>
      </c>
      <c r="D39" s="37" cm="1">
        <f t="array" ref="D39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2034</v>
      </c>
      <c r="E39" s="38" cm="1">
        <f t="array" ref="E39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269</v>
      </c>
      <c r="F39" s="36" t="str" cm="1">
        <f t="array" ref="F39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Moroni, Comoros</v>
      </c>
      <c r="G39" s="37" cm="1">
        <f t="array" ref="G39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1185728677</v>
      </c>
      <c r="H39" s="37" cm="1">
        <f t="array" ref="H39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836774</v>
      </c>
      <c r="I39" s="39" cm="1">
        <f t="array" ref="I39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0.04</v>
      </c>
      <c r="J39" s="36">
        <f>IF(tblCountriesClean[[#This Row],[Data_Quality_Status]]="CHECK","",1+COUNTIFS(tblCountriesClean[GDP_USD],"&gt;"&amp;tblCountriesClean[[#This Row],[GDP_USD]],tblCountriesClean[Data_Quality_Status],"&lt;&gt;CHECK"))</f>
        <v>180</v>
      </c>
      <c r="K39" s="40">
        <f>IF(tblCountriesClean[[#This Row],[Data_Quality_Status]]="CHECK","",IFERROR(tblCountriesClean[[#This Row],[GDP_USD]]/tblCountriesClean[[#This Row],[Population]],""))</f>
        <v>1417.0238045159147</v>
      </c>
      <c r="L39" s="40">
        <f>IF(tblCountriesClean[[#This Row],[Data_Quality_Status]]="CHECK","",IFERROR(tblCountriesClean[[#This Row],[Population]]/tblCountriesClean[[#This Row],[Area_km2]],""))</f>
        <v>411.39331366764998</v>
      </c>
      <c r="M39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40" spans="1:13">
      <c r="A40" s="31">
        <v>39</v>
      </c>
      <c r="B40" s="32" t="str">
        <f>_xlfn.XLOOKUP(tblCountriesClean[[#This Row],[Record_ID]],tblCountriesRaw[index],tblCountriesRaw[country],"Check")</f>
        <v>Republic of the Congo</v>
      </c>
      <c r="C40" s="36" t="str" cm="1">
        <f t="array" ref="C40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CG</v>
      </c>
      <c r="D40" s="37" cm="1">
        <f t="array" ref="D40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342000</v>
      </c>
      <c r="E40" s="38" cm="1">
        <f t="array" ref="E40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242</v>
      </c>
      <c r="F40" s="36" t="str" cm="1">
        <f t="array" ref="F40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Brazzaville</v>
      </c>
      <c r="G40" s="37" cm="1">
        <f t="array" ref="G40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10820591131</v>
      </c>
      <c r="H40" s="37" cm="1">
        <f t="array" ref="H40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5970424</v>
      </c>
      <c r="I40" s="39" cm="1">
        <f t="array" ref="I40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0.09</v>
      </c>
      <c r="J40" s="36">
        <f>IF(tblCountriesClean[[#This Row],[Data_Quality_Status]]="CHECK","",1+COUNTIFS(tblCountriesClean[GDP_USD],"&gt;"&amp;tblCountriesClean[[#This Row],[GDP_USD]],tblCountriesClean[Data_Quality_Status],"&lt;&gt;CHECK"))</f>
        <v>141</v>
      </c>
      <c r="K40" s="40">
        <f>IF(tblCountriesClean[[#This Row],[Data_Quality_Status]]="CHECK","",IFERROR(tblCountriesClean[[#This Row],[GDP_USD]]/tblCountriesClean[[#This Row],[Population]],""))</f>
        <v>1812.3656093771565</v>
      </c>
      <c r="L40" s="40">
        <f>IF(tblCountriesClean[[#This Row],[Data_Quality_Status]]="CHECK","",IFERROR(tblCountriesClean[[#This Row],[Population]]/tblCountriesClean[[#This Row],[Area_km2]],""))</f>
        <v>17.457380116959065</v>
      </c>
      <c r="M40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CORRECTED</v>
      </c>
    </row>
    <row r="41" spans="1:13">
      <c r="A41" s="31">
        <v>40</v>
      </c>
      <c r="B41" s="32" t="str">
        <f>_xlfn.XLOOKUP(tblCountriesClean[[#This Row],[Record_ID]],tblCountriesRaw[index],tblCountriesRaw[country],"Check")</f>
        <v>Costa Rica</v>
      </c>
      <c r="C41" s="36" t="str" cm="1">
        <f t="array" ref="C41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CR</v>
      </c>
      <c r="D41" s="37" cm="1">
        <f t="array" ref="D41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51180</v>
      </c>
      <c r="E41" s="38" cm="1">
        <f t="array" ref="E41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506</v>
      </c>
      <c r="F41" s="36" t="str" cm="1">
        <f t="array" ref="F41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San José, Costa Rica</v>
      </c>
      <c r="G41" s="37" cm="1">
        <f t="array" ref="G41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61773944174</v>
      </c>
      <c r="H41" s="37" cm="1">
        <f t="array" ref="H41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5180829</v>
      </c>
      <c r="I41" s="39" cm="1">
        <f t="array" ref="I41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0.12</v>
      </c>
      <c r="J41" s="36">
        <f>IF(tblCountriesClean[[#This Row],[Data_Quality_Status]]="CHECK","",1+COUNTIFS(tblCountriesClean[GDP_USD],"&gt;"&amp;tblCountriesClean[[#This Row],[GDP_USD]],tblCountriesClean[Data_Quality_Status],"&lt;&gt;CHECK"))</f>
        <v>77</v>
      </c>
      <c r="K41" s="40">
        <f>IF(tblCountriesClean[[#This Row],[Data_Quality_Status]]="CHECK","",IFERROR(tblCountriesClean[[#This Row],[GDP_USD]]/tblCountriesClean[[#This Row],[Population]],""))</f>
        <v>11923.563617714462</v>
      </c>
      <c r="L41" s="40">
        <f>IF(tblCountriesClean[[#This Row],[Data_Quality_Status]]="CHECK","",IFERROR(tblCountriesClean[[#This Row],[Population]]/tblCountriesClean[[#This Row],[Area_km2]],""))</f>
        <v>101.22760844079718</v>
      </c>
      <c r="M41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42" spans="1:13">
      <c r="A42" s="31">
        <v>41</v>
      </c>
      <c r="B42" s="32" t="str">
        <f>_xlfn.XLOOKUP(tblCountriesClean[[#This Row],[Record_ID]],tblCountriesRaw[index],tblCountriesRaw[country],"Check")</f>
        <v>Croatia</v>
      </c>
      <c r="C42" s="36" t="str" cm="1">
        <f t="array" ref="C42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HR</v>
      </c>
      <c r="D42" s="37" cm="1">
        <f t="array" ref="D42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56594</v>
      </c>
      <c r="E42" s="38" cm="1">
        <f t="array" ref="E42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385</v>
      </c>
      <c r="F42" s="36" t="str" cm="1">
        <f t="array" ref="F42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Zagreb</v>
      </c>
      <c r="G42" s="37" cm="1">
        <f t="array" ref="G42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60415553039</v>
      </c>
      <c r="H42" s="37" cm="1">
        <f t="array" ref="H42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3854000</v>
      </c>
      <c r="I42" s="39" cm="1">
        <f t="array" ref="I42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7.0000000000000007E-2</v>
      </c>
      <c r="J42" s="36">
        <f>IF(tblCountriesClean[[#This Row],[Data_Quality_Status]]="CHECK","",1+COUNTIFS(tblCountriesClean[GDP_USD],"&gt;"&amp;tblCountriesClean[[#This Row],[GDP_USD]],tblCountriesClean[Data_Quality_Status],"&lt;&gt;CHECK"))</f>
        <v>78</v>
      </c>
      <c r="K42" s="40">
        <f>IF(tblCountriesClean[[#This Row],[Data_Quality_Status]]="CHECK","",IFERROR(tblCountriesClean[[#This Row],[GDP_USD]]/tblCountriesClean[[#This Row],[Population]],""))</f>
        <v>15676.064618318631</v>
      </c>
      <c r="L42" s="40">
        <f>IF(tblCountriesClean[[#This Row],[Data_Quality_Status]]="CHECK","",IFERROR(tblCountriesClean[[#This Row],[Population]]/tblCountriesClean[[#This Row],[Area_km2]],""))</f>
        <v>68.099091776513404</v>
      </c>
      <c r="M42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43" spans="1:13">
      <c r="A43" s="31">
        <v>42</v>
      </c>
      <c r="B43" s="32" t="str">
        <f>_xlfn.XLOOKUP(tblCountriesClean[[#This Row],[Record_ID]],tblCountriesRaw[index],tblCountriesRaw[country],"Check")</f>
        <v>Cuba</v>
      </c>
      <c r="C43" s="36" t="str" cm="1">
        <f t="array" ref="C43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CU</v>
      </c>
      <c r="D43" s="37" cm="1">
        <f t="array" ref="D43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109884</v>
      </c>
      <c r="E43" s="38" cm="1">
        <f t="array" ref="E43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53</v>
      </c>
      <c r="F43" s="36" t="str" cm="1">
        <f t="array" ref="F43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Havana</v>
      </c>
      <c r="G43" s="37" cm="1">
        <f t="array" ref="G43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100023000000</v>
      </c>
      <c r="H43" s="37" cm="1">
        <f t="array" ref="H43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11212191</v>
      </c>
      <c r="I43" s="39" cm="1">
        <f t="array" ref="I43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0.02</v>
      </c>
      <c r="J43" s="36">
        <f>IF(tblCountriesClean[[#This Row],[Data_Quality_Status]]="CHECK","",1+COUNTIFS(tblCountriesClean[GDP_USD],"&gt;"&amp;tblCountriesClean[[#This Row],[GDP_USD]],tblCountriesClean[Data_Quality_Status],"&lt;&gt;CHECK"))</f>
        <v>62</v>
      </c>
      <c r="K43" s="40">
        <f>IF(tblCountriesClean[[#This Row],[Data_Quality_Status]]="CHECK","",IFERROR(tblCountriesClean[[#This Row],[GDP_USD]]/tblCountriesClean[[#This Row],[Population]],""))</f>
        <v>8920.9147436036365</v>
      </c>
      <c r="L43" s="40">
        <f>IF(tblCountriesClean[[#This Row],[Data_Quality_Status]]="CHECK","",IFERROR(tblCountriesClean[[#This Row],[Population]]/tblCountriesClean[[#This Row],[Area_km2]],""))</f>
        <v>102.03661133559027</v>
      </c>
      <c r="M43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44" spans="1:13">
      <c r="A44" s="31">
        <v>43</v>
      </c>
      <c r="B44" s="32" t="str">
        <f>_xlfn.XLOOKUP(tblCountriesClean[[#This Row],[Record_ID]],tblCountriesRaw[index],tblCountriesRaw[country],"Check")</f>
        <v>Cyprus</v>
      </c>
      <c r="C44" s="36" t="str" cm="1">
        <f t="array" ref="C44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CY</v>
      </c>
      <c r="D44" s="37" cm="1">
        <f t="array" ref="D44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9242</v>
      </c>
      <c r="E44" s="38" cm="1">
        <f t="array" ref="E44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357</v>
      </c>
      <c r="F44" s="36" t="str" cm="1">
        <f t="array" ref="F44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Nicosia</v>
      </c>
      <c r="G44" s="37" cm="1">
        <f t="array" ref="G44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24564647935</v>
      </c>
      <c r="H44" s="37" cm="1">
        <f t="array" ref="H44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1251488</v>
      </c>
      <c r="I44" s="39" cm="1">
        <f t="array" ref="I44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7.0000000000000007E-2</v>
      </c>
      <c r="J44" s="36">
        <f>IF(tblCountriesClean[[#This Row],[Data_Quality_Status]]="CHECK","",1+COUNTIFS(tblCountriesClean[GDP_USD],"&gt;"&amp;tblCountriesClean[[#This Row],[GDP_USD]],tblCountriesClean[Data_Quality_Status],"&lt;&gt;CHECK"))</f>
        <v>107</v>
      </c>
      <c r="K44" s="40">
        <f>IF(tblCountriesClean[[#This Row],[Data_Quality_Status]]="CHECK","",IFERROR(tblCountriesClean[[#This Row],[GDP_USD]]/tblCountriesClean[[#This Row],[Population]],""))</f>
        <v>19628.352756878212</v>
      </c>
      <c r="L44" s="40">
        <f>IF(tblCountriesClean[[#This Row],[Data_Quality_Status]]="CHECK","",IFERROR(tblCountriesClean[[#This Row],[Population]]/tblCountriesClean[[#This Row],[Area_km2]],""))</f>
        <v>135.41311404457909</v>
      </c>
      <c r="M44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45" spans="1:13">
      <c r="A45" s="31">
        <v>44</v>
      </c>
      <c r="B45" s="32" t="str">
        <f>_xlfn.XLOOKUP(tblCountriesClean[[#This Row],[Record_ID]],tblCountriesRaw[index],tblCountriesRaw[country],"Check")</f>
        <v>Czech Republic</v>
      </c>
      <c r="C45" s="36" t="str" cm="1">
        <f t="array" ref="C45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CZ</v>
      </c>
      <c r="D45" s="37" cm="1">
        <f t="array" ref="D45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78866</v>
      </c>
      <c r="E45" s="38" cm="1">
        <f t="array" ref="E45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420</v>
      </c>
      <c r="F45" s="36" t="str" cm="1">
        <f t="array" ref="F45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Prague</v>
      </c>
      <c r="G45" s="37" cm="1">
        <f t="array" ref="G45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246489245495</v>
      </c>
      <c r="H45" s="37" cm="1">
        <f t="array" ref="H45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10526073</v>
      </c>
      <c r="I45" s="39" cm="1">
        <f t="array" ref="I45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0.02</v>
      </c>
      <c r="J45" s="36">
        <f>IF(tblCountriesClean[[#This Row],[Data_Quality_Status]]="CHECK","",1+COUNTIFS(tblCountriesClean[GDP_USD],"&gt;"&amp;tblCountriesClean[[#This Row],[GDP_USD]],tblCountriesClean[Data_Quality_Status],"&lt;&gt;CHECK"))</f>
        <v>47</v>
      </c>
      <c r="K45" s="40">
        <f>IF(tblCountriesClean[[#This Row],[Data_Quality_Status]]="CHECK","",IFERROR(tblCountriesClean[[#This Row],[GDP_USD]]/tblCountriesClean[[#This Row],[Population]],""))</f>
        <v>23417.018435555216</v>
      </c>
      <c r="L45" s="40">
        <f>IF(tblCountriesClean[[#This Row],[Data_Quality_Status]]="CHECK","",IFERROR(tblCountriesClean[[#This Row],[Population]]/tblCountriesClean[[#This Row],[Area_km2]],""))</f>
        <v>133.46781883194279</v>
      </c>
      <c r="M45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46" spans="1:13" ht="31.2">
      <c r="A46" s="31">
        <v>45</v>
      </c>
      <c r="B46" s="32" t="str">
        <f>_xlfn.XLOOKUP(tblCountriesClean[[#This Row],[Record_ID]],tblCountriesRaw[index],tblCountriesRaw[country],"Check")</f>
        <v>Democratic Republic of the Congo</v>
      </c>
      <c r="C46" s="36" t="str" cm="1">
        <f t="array" ref="C46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CD</v>
      </c>
      <c r="D46" s="37" cm="1">
        <f t="array" ref="D46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2344858</v>
      </c>
      <c r="E46" s="38" cm="1">
        <f t="array" ref="E46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243</v>
      </c>
      <c r="F46" s="36" t="str" cm="1">
        <f t="array" ref="F46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Kinshasa</v>
      </c>
      <c r="G46" s="37" cm="1">
        <f t="array" ref="G46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47319624204</v>
      </c>
      <c r="H46" s="37" cm="1">
        <f t="array" ref="H46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95894118</v>
      </c>
      <c r="I46" s="39" cm="1">
        <f t="array" ref="I46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0.04</v>
      </c>
      <c r="J46" s="36">
        <f>IF(tblCountriesClean[[#This Row],[Data_Quality_Status]]="CHECK","",1+COUNTIFS(tblCountriesClean[GDP_USD],"&gt;"&amp;tblCountriesClean[[#This Row],[GDP_USD]],tblCountriesClean[Data_Quality_Status],"&lt;&gt;CHECK"))</f>
        <v>87</v>
      </c>
      <c r="K46" s="40">
        <f>IF(tblCountriesClean[[#This Row],[Data_Quality_Status]]="CHECK","",IFERROR(tblCountriesClean[[#This Row],[GDP_USD]]/tblCountriesClean[[#This Row],[Population]],""))</f>
        <v>493.45700435974601</v>
      </c>
      <c r="L46" s="40">
        <f>IF(tblCountriesClean[[#This Row],[Data_Quality_Status]]="CHECK","",IFERROR(tblCountriesClean[[#This Row],[Population]]/tblCountriesClean[[#This Row],[Area_km2]],""))</f>
        <v>40.8954904731971</v>
      </c>
      <c r="M46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47" spans="1:13">
      <c r="A47" s="31">
        <v>46</v>
      </c>
      <c r="B47" s="32" t="str">
        <f>_xlfn.XLOOKUP(tblCountriesClean[[#This Row],[Record_ID]],tblCountriesRaw[index],tblCountriesRaw[country],"Check")</f>
        <v>Denmark</v>
      </c>
      <c r="C47" s="36" t="str" cm="1">
        <f t="array" ref="C47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DK</v>
      </c>
      <c r="D47" s="37" cm="1">
        <f t="array" ref="D47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42925</v>
      </c>
      <c r="E47" s="38" cm="1">
        <f t="array" ref="E47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45</v>
      </c>
      <c r="F47" s="36" t="str" cm="1">
        <f t="array" ref="F47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Copenhagen</v>
      </c>
      <c r="G47" s="37" cm="1">
        <f t="array" ref="G47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348078018464</v>
      </c>
      <c r="H47" s="37" cm="1">
        <f t="array" ref="H47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5903037</v>
      </c>
      <c r="I47" s="39" cm="1">
        <f t="array" ref="I47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0.05</v>
      </c>
      <c r="J47" s="36">
        <f>IF(tblCountriesClean[[#This Row],[Data_Quality_Status]]="CHECK","",1+COUNTIFS(tblCountriesClean[GDP_USD],"&gt;"&amp;tblCountriesClean[[#This Row],[GDP_USD]],tblCountriesClean[Data_Quality_Status],"&lt;&gt;CHECK"))</f>
        <v>38</v>
      </c>
      <c r="K47" s="40">
        <f>IF(tblCountriesClean[[#This Row],[Data_Quality_Status]]="CHECK","",IFERROR(tblCountriesClean[[#This Row],[GDP_USD]]/tblCountriesClean[[#This Row],[Population]],""))</f>
        <v>58965.921857511654</v>
      </c>
      <c r="L47" s="40">
        <f>IF(tblCountriesClean[[#This Row],[Data_Quality_Status]]="CHECK","",IFERROR(tblCountriesClean[[#This Row],[Population]]/tblCountriesClean[[#This Row],[Area_km2]],""))</f>
        <v>137.51979033197438</v>
      </c>
      <c r="M47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48" spans="1:13">
      <c r="A48" s="31">
        <v>47</v>
      </c>
      <c r="B48" s="32" t="str">
        <f>_xlfn.XLOOKUP(tblCountriesClean[[#This Row],[Record_ID]],tblCountriesRaw[index],tblCountriesRaw[country],"Check")</f>
        <v>Djibouti</v>
      </c>
      <c r="C48" s="36" t="str" cm="1">
        <f t="array" ref="C48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DJ</v>
      </c>
      <c r="D48" s="37" cm="1">
        <f t="array" ref="D48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23200</v>
      </c>
      <c r="E48" s="38" cm="1">
        <f t="array" ref="E48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253</v>
      </c>
      <c r="F48" s="36" t="str" cm="1">
        <f t="array" ref="F48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Djibouti City</v>
      </c>
      <c r="G48" s="37" cm="1">
        <f t="array" ref="G48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3318716359</v>
      </c>
      <c r="H48" s="37" cm="1">
        <f t="array" ref="H48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1120849</v>
      </c>
      <c r="I48" s="39" cm="1">
        <f t="array" ref="I48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</v>
      </c>
      <c r="J48" s="36">
        <f>IF(tblCountriesClean[[#This Row],[Data_Quality_Status]]="CHECK","",1+COUNTIFS(tblCountriesClean[GDP_USD],"&gt;"&amp;tblCountriesClean[[#This Row],[GDP_USD]],tblCountriesClean[Data_Quality_Status],"&lt;&gt;CHECK"))</f>
        <v>161</v>
      </c>
      <c r="K48" s="40">
        <f>IF(tblCountriesClean[[#This Row],[Data_Quality_Status]]="CHECK","",IFERROR(tblCountriesClean[[#This Row],[GDP_USD]]/tblCountriesClean[[#This Row],[Population]],""))</f>
        <v>2960.8951419861196</v>
      </c>
      <c r="L48" s="40">
        <f>IF(tblCountriesClean[[#This Row],[Data_Quality_Status]]="CHECK","",IFERROR(tblCountriesClean[[#This Row],[Population]]/tblCountriesClean[[#This Row],[Area_km2]],""))</f>
        <v>48.312456896551723</v>
      </c>
      <c r="M48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49" spans="1:13">
      <c r="A49" s="31">
        <v>48</v>
      </c>
      <c r="B49" s="32" t="str">
        <f>_xlfn.XLOOKUP(tblCountriesClean[[#This Row],[Record_ID]],tblCountriesRaw[index],tblCountriesRaw[country],"Check")</f>
        <v>Dominica</v>
      </c>
      <c r="C49" s="36" t="str" cm="1">
        <f t="array" ref="C49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DM</v>
      </c>
      <c r="D49" s="37" cm="1">
        <f t="array" ref="D49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751</v>
      </c>
      <c r="E49" s="38" cm="1">
        <f t="array" ref="E49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1767</v>
      </c>
      <c r="F49" s="36" t="str" cm="1">
        <f t="array" ref="F49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Roseau</v>
      </c>
      <c r="G49" s="37" cm="1">
        <f t="array" ref="G49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596033333</v>
      </c>
      <c r="H49" s="37" cm="1">
        <f t="array" ref="H49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72737</v>
      </c>
      <c r="I49" s="39" cm="1">
        <f t="array" ref="I49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0.02</v>
      </c>
      <c r="J49" s="36">
        <f>IF(tblCountriesClean[[#This Row],[Data_Quality_Status]]="CHECK","",1+COUNTIFS(tblCountriesClean[GDP_USD],"&gt;"&amp;tblCountriesClean[[#This Row],[GDP_USD]],tblCountriesClean[Data_Quality_Status],"&lt;&gt;CHECK"))</f>
        <v>185</v>
      </c>
      <c r="K49" s="40">
        <f>IF(tblCountriesClean[[#This Row],[Data_Quality_Status]]="CHECK","",IFERROR(tblCountriesClean[[#This Row],[GDP_USD]]/tblCountriesClean[[#This Row],[Population]],""))</f>
        <v>8194.3623327879905</v>
      </c>
      <c r="L49" s="40">
        <f>IF(tblCountriesClean[[#This Row],[Data_Quality_Status]]="CHECK","",IFERROR(tblCountriesClean[[#This Row],[Population]]/tblCountriesClean[[#This Row],[Area_km2]],""))</f>
        <v>96.85352862849534</v>
      </c>
      <c r="M49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50" spans="1:13">
      <c r="A50" s="31">
        <v>49</v>
      </c>
      <c r="B50" s="32" t="str">
        <f>_xlfn.XLOOKUP(tblCountriesClean[[#This Row],[Record_ID]],tblCountriesRaw[index],tblCountriesRaw[country],"Check")</f>
        <v>Dominican Republic</v>
      </c>
      <c r="C50" s="36" t="str" cm="1">
        <f t="array" ref="C50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DO</v>
      </c>
      <c r="D50" s="37" cm="1">
        <f t="array" ref="D50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48671</v>
      </c>
      <c r="E50" s="38" cm="1">
        <f t="array" ref="E50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1809</v>
      </c>
      <c r="F50" s="36" t="str" cm="1">
        <f t="array" ref="F50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Santo Domingo</v>
      </c>
      <c r="G50" s="37" cm="1">
        <f t="array" ref="G50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88941298258</v>
      </c>
      <c r="H50" s="37" cm="1">
        <f t="array" ref="H50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11228821</v>
      </c>
      <c r="I50" s="39" cm="1">
        <f t="array" ref="I50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0.06</v>
      </c>
      <c r="J50" s="36">
        <f>IF(tblCountriesClean[[#This Row],[Data_Quality_Status]]="CHECK","",1+COUNTIFS(tblCountriesClean[GDP_USD],"&gt;"&amp;tblCountriesClean[[#This Row],[GDP_USD]],tblCountriesClean[Data_Quality_Status],"&lt;&gt;CHECK"))</f>
        <v>66</v>
      </c>
      <c r="K50" s="40">
        <f>IF(tblCountriesClean[[#This Row],[Data_Quality_Status]]="CHECK","",IFERROR(tblCountriesClean[[#This Row],[GDP_USD]]/tblCountriesClean[[#This Row],[Population]],""))</f>
        <v>7920.8047094169551</v>
      </c>
      <c r="L50" s="40">
        <f>IF(tblCountriesClean[[#This Row],[Data_Quality_Status]]="CHECK","",IFERROR(tblCountriesClean[[#This Row],[Population]]/tblCountriesClean[[#This Row],[Area_km2]],""))</f>
        <v>230.70865607856834</v>
      </c>
      <c r="M50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51" spans="1:13">
      <c r="A51" s="31">
        <v>50</v>
      </c>
      <c r="B51" s="32" t="str">
        <f>_xlfn.XLOOKUP(tblCountriesClean[[#This Row],[Record_ID]],tblCountriesRaw[index],tblCountriesRaw[country],"Check")</f>
        <v>Ecuador</v>
      </c>
      <c r="C51" s="36" t="str" cm="1">
        <f t="array" ref="C51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EC</v>
      </c>
      <c r="D51" s="37" cm="1">
        <f t="array" ref="D51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257204</v>
      </c>
      <c r="E51" s="38" cm="1">
        <f t="array" ref="E51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593</v>
      </c>
      <c r="F51" s="36" t="str" cm="1">
        <f t="array" ref="F51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Quito</v>
      </c>
      <c r="G51" s="37" cm="1">
        <f t="array" ref="G51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107435665000</v>
      </c>
      <c r="H51" s="37" cm="1">
        <f t="array" ref="H51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18001000</v>
      </c>
      <c r="I51" s="39" cm="1">
        <f t="array" ref="I51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0.04</v>
      </c>
      <c r="J51" s="36">
        <f>IF(tblCountriesClean[[#This Row],[Data_Quality_Status]]="CHECK","",1+COUNTIFS(tblCountriesClean[GDP_USD],"&gt;"&amp;tblCountriesClean[[#This Row],[GDP_USD]],tblCountriesClean[Data_Quality_Status],"&lt;&gt;CHECK"))</f>
        <v>60</v>
      </c>
      <c r="K51" s="40">
        <f>IF(tblCountriesClean[[#This Row],[Data_Quality_Status]]="CHECK","",IFERROR(tblCountriesClean[[#This Row],[GDP_USD]]/tblCountriesClean[[#This Row],[Population]],""))</f>
        <v>5968.3164824176438</v>
      </c>
      <c r="L51" s="40">
        <f>IF(tblCountriesClean[[#This Row],[Data_Quality_Status]]="CHECK","",IFERROR(tblCountriesClean[[#This Row],[Population]]/tblCountriesClean[[#This Row],[Area_km2]],""))</f>
        <v>69.98724747671109</v>
      </c>
      <c r="M51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52" spans="1:13">
      <c r="A52" s="31">
        <v>51</v>
      </c>
      <c r="B52" s="32" t="str">
        <f>_xlfn.XLOOKUP(tblCountriesClean[[#This Row],[Record_ID]],tblCountriesRaw[index],tblCountriesRaw[country],"Check")</f>
        <v>Egypt</v>
      </c>
      <c r="C52" s="36" t="str" cm="1">
        <f t="array" ref="C52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EG</v>
      </c>
      <c r="D52" s="37" cm="1">
        <f t="array" ref="D52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1010408</v>
      </c>
      <c r="E52" s="38" cm="1">
        <f t="array" ref="E52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20</v>
      </c>
      <c r="F52" s="36" t="str" cm="1">
        <f t="array" ref="F52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Cairo</v>
      </c>
      <c r="G52" s="37" cm="1">
        <f t="array" ref="G52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303175127598</v>
      </c>
      <c r="H52" s="37" cm="1">
        <f t="array" ref="H52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110990103</v>
      </c>
      <c r="I52" s="39" cm="1">
        <f t="array" ref="I52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0.11</v>
      </c>
      <c r="J52" s="36">
        <f>IF(tblCountriesClean[[#This Row],[Data_Quality_Status]]="CHECK","",1+COUNTIFS(tblCountriesClean[GDP_USD],"&gt;"&amp;tblCountriesClean[[#This Row],[GDP_USD]],tblCountriesClean[Data_Quality_Status],"&lt;&gt;CHECK"))</f>
        <v>41</v>
      </c>
      <c r="K52" s="40">
        <f>IF(tblCountriesClean[[#This Row],[Data_Quality_Status]]="CHECK","",IFERROR(tblCountriesClean[[#This Row],[GDP_USD]]/tblCountriesClean[[#This Row],[Population]],""))</f>
        <v>2731.551006831663</v>
      </c>
      <c r="L52" s="40">
        <f>IF(tblCountriesClean[[#This Row],[Data_Quality_Status]]="CHECK","",IFERROR(tblCountriesClean[[#This Row],[Population]]/tblCountriesClean[[#This Row],[Area_km2]],""))</f>
        <v>109.84681732527851</v>
      </c>
      <c r="M52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53" spans="1:13">
      <c r="A53" s="31">
        <v>52</v>
      </c>
      <c r="B53" s="32" t="str">
        <f>_xlfn.XLOOKUP(tblCountriesClean[[#This Row],[Record_ID]],tblCountriesRaw[index],tblCountriesRaw[country],"Check")</f>
        <v>El Salvador</v>
      </c>
      <c r="C53" s="36" t="str" cm="1">
        <f t="array" ref="C53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SV</v>
      </c>
      <c r="D53" s="37" cm="1">
        <f t="array" ref="D53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20742</v>
      </c>
      <c r="E53" s="38" cm="1">
        <f t="array" ref="E53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503</v>
      </c>
      <c r="F53" s="36" t="str" cm="1">
        <f t="array" ref="F53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San Salvador</v>
      </c>
      <c r="G53" s="37" cm="1">
        <f t="array" ref="G53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27022640000</v>
      </c>
      <c r="H53" s="37" cm="1">
        <f t="array" ref="H53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6336392</v>
      </c>
      <c r="I53" s="39" cm="1">
        <f t="array" ref="I53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0.04</v>
      </c>
      <c r="J53" s="36">
        <f>IF(tblCountriesClean[[#This Row],[Data_Quality_Status]]="CHECK","",1+COUNTIFS(tblCountriesClean[GDP_USD],"&gt;"&amp;tblCountriesClean[[#This Row],[GDP_USD]],tblCountriesClean[Data_Quality_Status],"&lt;&gt;CHECK"))</f>
        <v>103</v>
      </c>
      <c r="K53" s="40">
        <f>IF(tblCountriesClean[[#This Row],[Data_Quality_Status]]="CHECK","",IFERROR(tblCountriesClean[[#This Row],[GDP_USD]]/tblCountriesClean[[#This Row],[Population]],""))</f>
        <v>4264.6730189672608</v>
      </c>
      <c r="L53" s="40">
        <f>IF(tblCountriesClean[[#This Row],[Data_Quality_Status]]="CHECK","",IFERROR(tblCountriesClean[[#This Row],[Population]]/tblCountriesClean[[#This Row],[Area_km2]],""))</f>
        <v>305.48606691736575</v>
      </c>
      <c r="M53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54" spans="1:13">
      <c r="A54" s="31">
        <v>53</v>
      </c>
      <c r="B54" s="32" t="str">
        <f>_xlfn.XLOOKUP(tblCountriesClean[[#This Row],[Record_ID]],tblCountriesRaw[index],tblCountriesRaw[country],"Check")</f>
        <v>Equatorial Guinea</v>
      </c>
      <c r="C54" s="36" t="str" cm="1">
        <f t="array" ref="C54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GQ</v>
      </c>
      <c r="D54" s="37" cm="1">
        <f t="array" ref="D54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28051</v>
      </c>
      <c r="E54" s="38" cm="1">
        <f t="array" ref="E54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240</v>
      </c>
      <c r="F54" s="36" t="str" cm="1">
        <f t="array" ref="F54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Ciudad de la Paz</v>
      </c>
      <c r="G54" s="37" cm="1">
        <f t="array" ref="G54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11026774945</v>
      </c>
      <c r="H54" s="37" cm="1">
        <f t="array" ref="H54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1674908</v>
      </c>
      <c r="I54" s="39" cm="1">
        <f t="array" ref="I54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0.06</v>
      </c>
      <c r="J54" s="36">
        <f>IF(tblCountriesClean[[#This Row],[Data_Quality_Status]]="CHECK","",1+COUNTIFS(tblCountriesClean[GDP_USD],"&gt;"&amp;tblCountriesClean[[#This Row],[GDP_USD]],tblCountriesClean[Data_Quality_Status],"&lt;&gt;CHECK"))</f>
        <v>140</v>
      </c>
      <c r="K54" s="40">
        <f>IF(tblCountriesClean[[#This Row],[Data_Quality_Status]]="CHECK","",IFERROR(tblCountriesClean[[#This Row],[GDP_USD]]/tblCountriesClean[[#This Row],[Population]],""))</f>
        <v>6583.510822683992</v>
      </c>
      <c r="L54" s="40">
        <f>IF(tblCountriesClean[[#This Row],[Data_Quality_Status]]="CHECK","",IFERROR(tblCountriesClean[[#This Row],[Population]]/tblCountriesClean[[#This Row],[Area_km2]],""))</f>
        <v>59.709386474635487</v>
      </c>
      <c r="M54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55" spans="1:13">
      <c r="A55" s="31">
        <v>54</v>
      </c>
      <c r="B55" s="32" t="str">
        <f>_xlfn.XLOOKUP(tblCountriesClean[[#This Row],[Record_ID]],tblCountriesRaw[index],tblCountriesRaw[country],"Check")</f>
        <v>Eritrea</v>
      </c>
      <c r="C55" s="36" t="str" cm="1">
        <f t="array" ref="C55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ER</v>
      </c>
      <c r="D55" s="37" cm="1">
        <f t="array" ref="D55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117600</v>
      </c>
      <c r="E55" s="38" cm="1">
        <f t="array" ref="E55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291</v>
      </c>
      <c r="F55" s="36" t="str" cm="1">
        <f t="array" ref="F55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Asmara</v>
      </c>
      <c r="G55" s="37" cm="1">
        <f t="array" ref="G55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2065001626</v>
      </c>
      <c r="H55" s="37" cm="1">
        <f t="array" ref="H55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3684032</v>
      </c>
      <c r="I55" s="39" cm="1">
        <f t="array" ref="I55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0.05</v>
      </c>
      <c r="J55" s="36">
        <f>IF(tblCountriesClean[[#This Row],[Data_Quality_Status]]="CHECK","",1+COUNTIFS(tblCountriesClean[GDP_USD],"&gt;"&amp;tblCountriesClean[[#This Row],[GDP_USD]],tblCountriesClean[Data_Quality_Status],"&lt;&gt;CHECK"))</f>
        <v>169</v>
      </c>
      <c r="K55" s="40">
        <f>IF(tblCountriesClean[[#This Row],[Data_Quality_Status]]="CHECK","",IFERROR(tblCountriesClean[[#This Row],[GDP_USD]]/tblCountriesClean[[#This Row],[Population]],""))</f>
        <v>560.52760290898664</v>
      </c>
      <c r="L55" s="40">
        <f>IF(tblCountriesClean[[#This Row],[Data_Quality_Status]]="CHECK","",IFERROR(tblCountriesClean[[#This Row],[Population]]/tblCountriesClean[[#This Row],[Area_km2]],""))</f>
        <v>31.326802721088434</v>
      </c>
      <c r="M55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56" spans="1:13">
      <c r="A56" s="31">
        <v>55</v>
      </c>
      <c r="B56" s="32" t="str">
        <f>_xlfn.XLOOKUP(tblCountriesClean[[#This Row],[Record_ID]],tblCountriesRaw[index],tblCountriesRaw[country],"Check")</f>
        <v>Estonia</v>
      </c>
      <c r="C56" s="36" t="str" cm="1">
        <f t="array" ref="C56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EE</v>
      </c>
      <c r="D56" s="37" cm="1">
        <f t="array" ref="D56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45335</v>
      </c>
      <c r="E56" s="38" cm="1">
        <f t="array" ref="E56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372</v>
      </c>
      <c r="F56" s="36" t="str" cm="1">
        <f t="array" ref="F56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Tallinn</v>
      </c>
      <c r="G56" s="37" cm="1">
        <f t="array" ref="G56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31386949981</v>
      </c>
      <c r="H56" s="37" cm="1">
        <f t="array" ref="H56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1344768</v>
      </c>
      <c r="I56" s="39" cm="1">
        <f t="array" ref="I56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0.05</v>
      </c>
      <c r="J56" s="36">
        <f>IF(tblCountriesClean[[#This Row],[Data_Quality_Status]]="CHECK","",1+COUNTIFS(tblCountriesClean[GDP_USD],"&gt;"&amp;tblCountriesClean[[#This Row],[GDP_USD]],tblCountriesClean[Data_Quality_Status],"&lt;&gt;CHECK"))</f>
        <v>100</v>
      </c>
      <c r="K56" s="40">
        <f>IF(tblCountriesClean[[#This Row],[Data_Quality_Status]]="CHECK","",IFERROR(tblCountriesClean[[#This Row],[GDP_USD]]/tblCountriesClean[[#This Row],[Population]],""))</f>
        <v>23340.048232111414</v>
      </c>
      <c r="L56" s="40">
        <f>IF(tblCountriesClean[[#This Row],[Data_Quality_Status]]="CHECK","",IFERROR(tblCountriesClean[[#This Row],[Population]]/tblCountriesClean[[#This Row],[Area_km2]],""))</f>
        <v>29.662909451858386</v>
      </c>
      <c r="M56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57" spans="1:13">
      <c r="A57" s="31">
        <v>56</v>
      </c>
      <c r="B57" s="32" t="str">
        <f>_xlfn.XLOOKUP(tblCountriesClean[[#This Row],[Record_ID]],tblCountriesRaw[index],tblCountriesRaw[country],"Check")</f>
        <v>Eswatini</v>
      </c>
      <c r="C57" s="36" t="str" cm="1">
        <f t="array" ref="C57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SZ</v>
      </c>
      <c r="D57" s="37" cm="1">
        <f t="array" ref="D57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17364</v>
      </c>
      <c r="E57" s="38" cm="1">
        <f t="array" ref="E57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268</v>
      </c>
      <c r="F57" s="36" t="str" cm="1">
        <f t="array" ref="F57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Lobamba</v>
      </c>
      <c r="G57" s="37" cm="1">
        <f t="array" ref="G57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3791304348</v>
      </c>
      <c r="H57" s="37" cm="1">
        <f t="array" ref="H57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1201670</v>
      </c>
      <c r="I57" s="39" cm="1">
        <f t="array" ref="I57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0.02</v>
      </c>
      <c r="J57" s="36">
        <f>IF(tblCountriesClean[[#This Row],[Data_Quality_Status]]="CHECK","",1+COUNTIFS(tblCountriesClean[GDP_USD],"&gt;"&amp;tblCountriesClean[[#This Row],[GDP_USD]],tblCountriesClean[Data_Quality_Status],"&lt;&gt;CHECK"))</f>
        <v>160</v>
      </c>
      <c r="K57" s="40">
        <f>IF(tblCountriesClean[[#This Row],[Data_Quality_Status]]="CHECK","",IFERROR(tblCountriesClean[[#This Row],[GDP_USD]]/tblCountriesClean[[#This Row],[Population]],""))</f>
        <v>3155.0295405560596</v>
      </c>
      <c r="L57" s="40">
        <f>IF(tblCountriesClean[[#This Row],[Data_Quality_Status]]="CHECK","",IFERROR(tblCountriesClean[[#This Row],[Population]]/tblCountriesClean[[#This Row],[Area_km2]],""))</f>
        <v>69.204676341856711</v>
      </c>
      <c r="M57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CORRECTED</v>
      </c>
    </row>
    <row r="58" spans="1:13">
      <c r="A58" s="31">
        <v>57</v>
      </c>
      <c r="B58" s="32" t="str">
        <f>_xlfn.XLOOKUP(tblCountriesClean[[#This Row],[Record_ID]],tblCountriesRaw[index],tblCountriesRaw[country],"Check")</f>
        <v>Ethiopia</v>
      </c>
      <c r="C58" s="36" t="str" cm="1">
        <f t="array" ref="C58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ET</v>
      </c>
      <c r="D58" s="37" cm="1">
        <f t="array" ref="D58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1104300</v>
      </c>
      <c r="E58" s="38" cm="1">
        <f t="array" ref="E58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251</v>
      </c>
      <c r="F58" s="36" t="str" cm="1">
        <f t="array" ref="F58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Addis Ababa</v>
      </c>
      <c r="G58" s="37" cm="1">
        <f t="array" ref="G58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96107662398</v>
      </c>
      <c r="H58" s="37" cm="1">
        <f t="array" ref="H58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123379924</v>
      </c>
      <c r="I58" s="39" cm="1">
        <f t="array" ref="I58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0.02</v>
      </c>
      <c r="J58" s="36">
        <f>IF(tblCountriesClean[[#This Row],[Data_Quality_Status]]="CHECK","",1+COUNTIFS(tblCountriesClean[GDP_USD],"&gt;"&amp;tblCountriesClean[[#This Row],[GDP_USD]],tblCountriesClean[Data_Quality_Status],"&lt;&gt;CHECK"))</f>
        <v>63</v>
      </c>
      <c r="K58" s="40">
        <f>IF(tblCountriesClean[[#This Row],[Data_Quality_Status]]="CHECK","",IFERROR(tblCountriesClean[[#This Row],[GDP_USD]]/tblCountriesClean[[#This Row],[Population]],""))</f>
        <v>778.95705623874437</v>
      </c>
      <c r="L58" s="40">
        <f>IF(tblCountriesClean[[#This Row],[Data_Quality_Status]]="CHECK","",IFERROR(tblCountriesClean[[#This Row],[Population]]/tblCountriesClean[[#This Row],[Area_km2]],""))</f>
        <v>111.72681698813729</v>
      </c>
      <c r="M58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59" spans="1:13">
      <c r="A59" s="31">
        <v>58</v>
      </c>
      <c r="B59" s="32" t="str">
        <f>_xlfn.XLOOKUP(tblCountriesClean[[#This Row],[Record_ID]],tblCountriesRaw[index],tblCountriesRaw[country],"Check")</f>
        <v>Fiji</v>
      </c>
      <c r="C59" s="36" t="str" cm="1">
        <f t="array" ref="C59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FJ</v>
      </c>
      <c r="D59" s="37" cm="1">
        <f t="array" ref="D59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18274</v>
      </c>
      <c r="E59" s="38" cm="1">
        <f t="array" ref="E59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679</v>
      </c>
      <c r="F59" s="36" t="str" cm="1">
        <f t="array" ref="F59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Suva</v>
      </c>
      <c r="G59" s="37" cm="1">
        <f t="array" ref="G59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5535548972</v>
      </c>
      <c r="H59" s="37" cm="1">
        <f t="array" ref="H59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929766</v>
      </c>
      <c r="I59" s="39" cm="1">
        <f t="array" ref="I59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0.04</v>
      </c>
      <c r="J59" s="36">
        <f>IF(tblCountriesClean[[#This Row],[Data_Quality_Status]]="CHECK","",1+COUNTIFS(tblCountriesClean[GDP_USD],"&gt;"&amp;tblCountriesClean[[#This Row],[GDP_USD]],tblCountriesClean[Data_Quality_Status],"&lt;&gt;CHECK"))</f>
        <v>152</v>
      </c>
      <c r="K59" s="40">
        <f>IF(tblCountriesClean[[#This Row],[Data_Quality_Status]]="CHECK","",IFERROR(tblCountriesClean[[#This Row],[GDP_USD]]/tblCountriesClean[[#This Row],[Population]],""))</f>
        <v>5953.7012237487716</v>
      </c>
      <c r="L59" s="40">
        <f>IF(tblCountriesClean[[#This Row],[Data_Quality_Status]]="CHECK","",IFERROR(tblCountriesClean[[#This Row],[Population]]/tblCountriesClean[[#This Row],[Area_km2]],""))</f>
        <v>50.879172594943633</v>
      </c>
      <c r="M59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60" spans="1:13">
      <c r="A60" s="31">
        <v>59</v>
      </c>
      <c r="B60" s="32" t="str">
        <f>_xlfn.XLOOKUP(tblCountriesClean[[#This Row],[Record_ID]],tblCountriesRaw[index],tblCountriesRaw[country],"Check")</f>
        <v>Finland</v>
      </c>
      <c r="C60" s="36" t="str" cm="1">
        <f t="array" ref="C60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FI</v>
      </c>
      <c r="D60" s="37" cm="1">
        <f t="array" ref="D60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338478</v>
      </c>
      <c r="E60" s="38" cm="1">
        <f t="array" ref="E60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358</v>
      </c>
      <c r="F60" s="36" t="str" cm="1">
        <f t="array" ref="F60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Helsinki</v>
      </c>
      <c r="G60" s="37" cm="1">
        <f t="array" ref="G60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268761201365</v>
      </c>
      <c r="H60" s="37" cm="1">
        <f t="array" ref="H60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5556880</v>
      </c>
      <c r="I60" s="39" cm="1">
        <f t="array" ref="I60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7.0000000000000007E-2</v>
      </c>
      <c r="J60" s="36">
        <f>IF(tblCountriesClean[[#This Row],[Data_Quality_Status]]="CHECK","",1+COUNTIFS(tblCountriesClean[GDP_USD],"&gt;"&amp;tblCountriesClean[[#This Row],[GDP_USD]],tblCountriesClean[Data_Quality_Status],"&lt;&gt;CHECK"))</f>
        <v>44</v>
      </c>
      <c r="K60" s="40">
        <f>IF(tblCountriesClean[[#This Row],[Data_Quality_Status]]="CHECK","",IFERROR(tblCountriesClean[[#This Row],[GDP_USD]]/tblCountriesClean[[#This Row],[Population]],""))</f>
        <v>48365.485913858138</v>
      </c>
      <c r="L60" s="40">
        <f>IF(tblCountriesClean[[#This Row],[Data_Quality_Status]]="CHECK","",IFERROR(tblCountriesClean[[#This Row],[Population]]/tblCountriesClean[[#This Row],[Area_km2]],""))</f>
        <v>16.417256069818421</v>
      </c>
      <c r="M60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61" spans="1:13">
      <c r="A61" s="31">
        <v>60</v>
      </c>
      <c r="B61" s="32" t="str">
        <f>_xlfn.XLOOKUP(tblCountriesClean[[#This Row],[Record_ID]],tblCountriesRaw[index],tblCountriesRaw[country],"Check")</f>
        <v>France</v>
      </c>
      <c r="C61" s="36" t="str" cm="1">
        <f t="array" ref="C61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FR</v>
      </c>
      <c r="D61" s="37" cm="1">
        <f t="array" ref="D61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643801</v>
      </c>
      <c r="E61" s="38" cm="1">
        <f t="array" ref="E61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33</v>
      </c>
      <c r="F61" s="36" t="str" cm="1">
        <f t="array" ref="F61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Paris</v>
      </c>
      <c r="G61" s="37" cm="1">
        <f t="array" ref="G61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2715518274227</v>
      </c>
      <c r="H61" s="37" cm="1">
        <f t="array" ref="H61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67749632</v>
      </c>
      <c r="I61" s="39" cm="1">
        <f t="array" ref="I61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0.08</v>
      </c>
      <c r="J61" s="36">
        <f>IF(tblCountriesClean[[#This Row],[Data_Quality_Status]]="CHECK","",1+COUNTIFS(tblCountriesClean[GDP_USD],"&gt;"&amp;tblCountriesClean[[#This Row],[GDP_USD]],tblCountriesClean[Data_Quality_Status],"&lt;&gt;CHECK"))</f>
        <v>6</v>
      </c>
      <c r="K61" s="40">
        <f>IF(tblCountriesClean[[#This Row],[Data_Quality_Status]]="CHECK","",IFERROR(tblCountriesClean[[#This Row],[GDP_USD]]/tblCountriesClean[[#This Row],[Population]],""))</f>
        <v>40081.6682550689</v>
      </c>
      <c r="L61" s="40">
        <f>IF(tblCountriesClean[[#This Row],[Data_Quality_Status]]="CHECK","",IFERROR(tblCountriesClean[[#This Row],[Population]]/tblCountriesClean[[#This Row],[Area_km2]],""))</f>
        <v>105.23380982632833</v>
      </c>
      <c r="M61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62" spans="1:13">
      <c r="A62" s="31">
        <v>61</v>
      </c>
      <c r="B62" s="32" t="str">
        <f>_xlfn.XLOOKUP(tblCountriesClean[[#This Row],[Record_ID]],tblCountriesRaw[index],tblCountriesRaw[country],"Check")</f>
        <v>Gabon</v>
      </c>
      <c r="C62" s="36" t="str" cm="1">
        <f t="array" ref="C62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GA</v>
      </c>
      <c r="D62" s="37" cm="1">
        <f t="array" ref="D62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267667</v>
      </c>
      <c r="E62" s="38" cm="1">
        <f t="array" ref="E62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241</v>
      </c>
      <c r="F62" s="36" t="str" cm="1">
        <f t="array" ref="F62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Libreville</v>
      </c>
      <c r="G62" s="37" cm="1">
        <f t="array" ref="G62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16657960228</v>
      </c>
      <c r="H62" s="37" cm="1">
        <f t="array" ref="H62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2388992</v>
      </c>
      <c r="I62" s="39" cm="1">
        <f t="array" ref="I62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0.2</v>
      </c>
      <c r="J62" s="36">
        <f>IF(tblCountriesClean[[#This Row],[Data_Quality_Status]]="CHECK","",1+COUNTIFS(tblCountriesClean[GDP_USD],"&gt;"&amp;tblCountriesClean[[#This Row],[GDP_USD]],tblCountriesClean[Data_Quality_Status],"&lt;&gt;CHECK"))</f>
        <v>120</v>
      </c>
      <c r="K62" s="40">
        <f>IF(tblCountriesClean[[#This Row],[Data_Quality_Status]]="CHECK","",IFERROR(tblCountriesClean[[#This Row],[GDP_USD]]/tblCountriesClean[[#This Row],[Population]],""))</f>
        <v>6972.7986648762326</v>
      </c>
      <c r="L62" s="40">
        <f>IF(tblCountriesClean[[#This Row],[Data_Quality_Status]]="CHECK","",IFERROR(tblCountriesClean[[#This Row],[Population]]/tblCountriesClean[[#This Row],[Area_km2]],""))</f>
        <v>8.925239196464263</v>
      </c>
      <c r="M62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63" spans="1:13">
      <c r="A63" s="31">
        <v>62</v>
      </c>
      <c r="B63" s="32" t="str">
        <f>_xlfn.XLOOKUP(tblCountriesClean[[#This Row],[Record_ID]],tblCountriesRaw[index],tblCountriesRaw[country],"Check")</f>
        <v>The Gambia</v>
      </c>
      <c r="C63" s="36" t="str" cm="1">
        <f t="array" ref="C63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GM</v>
      </c>
      <c r="D63" s="37" cm="1">
        <f t="array" ref="D63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11300</v>
      </c>
      <c r="E63" s="38" cm="1">
        <f t="array" ref="E63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220</v>
      </c>
      <c r="F63" s="36" t="str" cm="1">
        <f t="array" ref="F63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Banjul</v>
      </c>
      <c r="G63" s="37" cm="1">
        <f t="array" ref="G63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1763819048</v>
      </c>
      <c r="H63" s="37" cm="1">
        <f t="array" ref="H63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2705992</v>
      </c>
      <c r="I63" s="39" cm="1">
        <f t="array" ref="I63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0.09</v>
      </c>
      <c r="J63" s="36">
        <f>IF(tblCountriesClean[[#This Row],[Data_Quality_Status]]="CHECK","",1+COUNTIFS(tblCountriesClean[GDP_USD],"&gt;"&amp;tblCountriesClean[[#This Row],[GDP_USD]],tblCountriesClean[Data_Quality_Status],"&lt;&gt;CHECK"))</f>
        <v>172</v>
      </c>
      <c r="K63" s="40">
        <f>IF(tblCountriesClean[[#This Row],[Data_Quality_Status]]="CHECK","",IFERROR(tblCountriesClean[[#This Row],[GDP_USD]]/tblCountriesClean[[#This Row],[Population]],""))</f>
        <v>651.81975704288857</v>
      </c>
      <c r="L63" s="40">
        <f>IF(tblCountriesClean[[#This Row],[Data_Quality_Status]]="CHECK","",IFERROR(tblCountriesClean[[#This Row],[Population]]/tblCountriesClean[[#This Row],[Area_km2]],""))</f>
        <v>239.4683185840708</v>
      </c>
      <c r="M63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64" spans="1:13">
      <c r="A64" s="31">
        <v>63</v>
      </c>
      <c r="B64" s="32" t="str">
        <f>_xlfn.XLOOKUP(tblCountriesClean[[#This Row],[Record_ID]],tblCountriesRaw[index],tblCountriesRaw[country],"Check")</f>
        <v>Georgia</v>
      </c>
      <c r="C64" s="36" t="str" cm="1">
        <f t="array" ref="C64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GE</v>
      </c>
      <c r="D64" s="37" cm="1">
        <f t="array" ref="D64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69700</v>
      </c>
      <c r="E64" s="38" cm="1">
        <f t="array" ref="E64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995</v>
      </c>
      <c r="F64" s="36" t="str" cm="1">
        <f t="array" ref="F64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Tbilisi</v>
      </c>
      <c r="G64" s="37" cm="1">
        <f t="array" ref="G64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17743195770</v>
      </c>
      <c r="H64" s="37" cm="1">
        <f t="array" ref="H64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3712502</v>
      </c>
      <c r="I64" s="39" cm="1">
        <f t="array" ref="I64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0.14000000000000001</v>
      </c>
      <c r="J64" s="36">
        <f>IF(tblCountriesClean[[#This Row],[Data_Quality_Status]]="CHECK","",1+COUNTIFS(tblCountriesClean[GDP_USD],"&gt;"&amp;tblCountriesClean[[#This Row],[GDP_USD]],tblCountriesClean[Data_Quality_Status],"&lt;&gt;CHECK"))</f>
        <v>118</v>
      </c>
      <c r="K64" s="40">
        <f>IF(tblCountriesClean[[#This Row],[Data_Quality_Status]]="CHECK","",IFERROR(tblCountriesClean[[#This Row],[GDP_USD]]/tblCountriesClean[[#This Row],[Population]],""))</f>
        <v>4779.3094172070478</v>
      </c>
      <c r="L64" s="40">
        <f>IF(tblCountriesClean[[#This Row],[Data_Quality_Status]]="CHECK","",IFERROR(tblCountriesClean[[#This Row],[Population]]/tblCountriesClean[[#This Row],[Area_km2]],""))</f>
        <v>53.264017216642756</v>
      </c>
      <c r="M64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65" spans="1:13">
      <c r="A65" s="31">
        <v>64</v>
      </c>
      <c r="B65" s="32" t="str">
        <f>_xlfn.XLOOKUP(tblCountriesClean[[#This Row],[Record_ID]],tblCountriesRaw[index],tblCountriesRaw[country],"Check")</f>
        <v>Germany</v>
      </c>
      <c r="C65" s="36" t="str" cm="1">
        <f t="array" ref="C65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DE</v>
      </c>
      <c r="D65" s="37" cm="1">
        <f t="array" ref="D65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357588</v>
      </c>
      <c r="E65" s="38" cm="1">
        <f t="array" ref="E65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49</v>
      </c>
      <c r="F65" s="36" t="str" cm="1">
        <f t="array" ref="F65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Berlin</v>
      </c>
      <c r="G65" s="37" cm="1">
        <f t="array" ref="G65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3845630030824</v>
      </c>
      <c r="H65" s="37" cm="1">
        <f t="array" ref="H65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84079811</v>
      </c>
      <c r="I65" s="39" cm="1">
        <f t="array" ref="I65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0.03</v>
      </c>
      <c r="J65" s="36">
        <f>IF(tblCountriesClean[[#This Row],[Data_Quality_Status]]="CHECK","",1+COUNTIFS(tblCountriesClean[GDP_USD],"&gt;"&amp;tblCountriesClean[[#This Row],[GDP_USD]],tblCountriesClean[Data_Quality_Status],"&lt;&gt;CHECK"))</f>
        <v>4</v>
      </c>
      <c r="K65" s="40">
        <f>IF(tblCountriesClean[[#This Row],[Data_Quality_Status]]="CHECK","",IFERROR(tblCountriesClean[[#This Row],[GDP_USD]]/tblCountriesClean[[#This Row],[Population]],""))</f>
        <v>45737.852940987228</v>
      </c>
      <c r="L65" s="40">
        <f>IF(tblCountriesClean[[#This Row],[Data_Quality_Status]]="CHECK","",IFERROR(tblCountriesClean[[#This Row],[Population]]/tblCountriesClean[[#This Row],[Area_km2]],""))</f>
        <v>235.13040426412519</v>
      </c>
      <c r="M65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66" spans="1:13">
      <c r="A66" s="31">
        <v>65</v>
      </c>
      <c r="B66" s="32" t="str">
        <f>_xlfn.XLOOKUP(tblCountriesClean[[#This Row],[Record_ID]],tblCountriesRaw[index],tblCountriesRaw[country],"Check")</f>
        <v>Ghana</v>
      </c>
      <c r="C66" s="36" t="str" cm="1">
        <f t="array" ref="C66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GH</v>
      </c>
      <c r="D66" s="37" cm="1">
        <f t="array" ref="D66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238535</v>
      </c>
      <c r="E66" s="38" cm="1">
        <f t="array" ref="E66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233</v>
      </c>
      <c r="F66" s="36" t="str" cm="1">
        <f t="array" ref="F66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Accra</v>
      </c>
      <c r="G66" s="37" cm="1">
        <f t="array" ref="G66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66983634224</v>
      </c>
      <c r="H66" s="37" cm="1">
        <f t="array" ref="H66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33475870</v>
      </c>
      <c r="I66" s="39" cm="1">
        <f t="array" ref="I66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0.04</v>
      </c>
      <c r="J66" s="36">
        <f>IF(tblCountriesClean[[#This Row],[Data_Quality_Status]]="CHECK","",1+COUNTIFS(tblCountriesClean[GDP_USD],"&gt;"&amp;tblCountriesClean[[#This Row],[GDP_USD]],tblCountriesClean[Data_Quality_Status],"&lt;&gt;CHECK"))</f>
        <v>73</v>
      </c>
      <c r="K66" s="40">
        <f>IF(tblCountriesClean[[#This Row],[Data_Quality_Status]]="CHECK","",IFERROR(tblCountriesClean[[#This Row],[GDP_USD]]/tblCountriesClean[[#This Row],[Population]],""))</f>
        <v>2000.9527526543745</v>
      </c>
      <c r="L66" s="40">
        <f>IF(tblCountriesClean[[#This Row],[Data_Quality_Status]]="CHECK","",IFERROR(tblCountriesClean[[#This Row],[Population]]/tblCountriesClean[[#This Row],[Area_km2]],""))</f>
        <v>140.33944704131468</v>
      </c>
      <c r="M66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67" spans="1:13">
      <c r="A67" s="31">
        <v>66</v>
      </c>
      <c r="B67" s="32" t="str">
        <f>_xlfn.XLOOKUP(tblCountriesClean[[#This Row],[Record_ID]],tblCountriesRaw[index],tblCountriesRaw[country],"Check")</f>
        <v>Greece</v>
      </c>
      <c r="C67" s="36" t="str" cm="1">
        <f t="array" ref="C67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GR</v>
      </c>
      <c r="D67" s="37" cm="1">
        <f t="array" ref="D67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131957</v>
      </c>
      <c r="E67" s="38" cm="1">
        <f t="array" ref="E67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30</v>
      </c>
      <c r="F67" s="36" t="str" cm="1">
        <f t="array" ref="F67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Athens</v>
      </c>
      <c r="G67" s="37" cm="1">
        <f t="array" ref="G67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209852761469</v>
      </c>
      <c r="H67" s="37" cm="1">
        <f t="array" ref="H67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10566531</v>
      </c>
      <c r="I67" s="39" cm="1">
        <f t="array" ref="I67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0.17</v>
      </c>
      <c r="J67" s="36">
        <f>IF(tblCountriesClean[[#This Row],[Data_Quality_Status]]="CHECK","",1+COUNTIFS(tblCountriesClean[GDP_USD],"&gt;"&amp;tblCountriesClean[[#This Row],[GDP_USD]],tblCountriesClean[Data_Quality_Status],"&lt;&gt;CHECK"))</f>
        <v>51</v>
      </c>
      <c r="K67" s="40">
        <f>IF(tblCountriesClean[[#This Row],[Data_Quality_Status]]="CHECK","",IFERROR(tblCountriesClean[[#This Row],[GDP_USD]]/tblCountriesClean[[#This Row],[Population]],""))</f>
        <v>19860.137775491312</v>
      </c>
      <c r="L67" s="40">
        <f>IF(tblCountriesClean[[#This Row],[Data_Quality_Status]]="CHECK","",IFERROR(tblCountriesClean[[#This Row],[Population]]/tblCountriesClean[[#This Row],[Area_km2]],""))</f>
        <v>80.075562493842696</v>
      </c>
      <c r="M67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68" spans="1:13">
      <c r="A68" s="31">
        <v>67</v>
      </c>
      <c r="B68" s="32" t="str">
        <f>_xlfn.XLOOKUP(tblCountriesClean[[#This Row],[Record_ID]],tblCountriesRaw[index],tblCountriesRaw[country],"Check")</f>
        <v>Grenada</v>
      </c>
      <c r="C68" s="36" t="str" cm="1">
        <f t="array" ref="C68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GD</v>
      </c>
      <c r="D68" s="37" cm="1">
        <f t="array" ref="D68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349</v>
      </c>
      <c r="E68" s="38" cm="1">
        <f t="array" ref="E68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1473</v>
      </c>
      <c r="F68" s="36" t="str" cm="1">
        <f t="array" ref="F68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St. George's, Grenada</v>
      </c>
      <c r="G68" s="37" cm="1">
        <f t="array" ref="G68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1228170370</v>
      </c>
      <c r="H68" s="37" cm="1">
        <f t="array" ref="H68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125438</v>
      </c>
      <c r="I68" s="39" cm="1">
        <f t="array" ref="I68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0.02</v>
      </c>
      <c r="J68" s="36">
        <f>IF(tblCountriesClean[[#This Row],[Data_Quality_Status]]="CHECK","",1+COUNTIFS(tblCountriesClean[GDP_USD],"&gt;"&amp;tblCountriesClean[[#This Row],[GDP_USD]],tblCountriesClean[Data_Quality_Status],"&lt;&gt;CHECK"))</f>
        <v>179</v>
      </c>
      <c r="K68" s="40">
        <f>IF(tblCountriesClean[[#This Row],[Data_Quality_Status]]="CHECK","",IFERROR(tblCountriesClean[[#This Row],[GDP_USD]]/tblCountriesClean[[#This Row],[Population]],""))</f>
        <v>9791.0551029193703</v>
      </c>
      <c r="L68" s="40">
        <f>IF(tblCountriesClean[[#This Row],[Data_Quality_Status]]="CHECK","",IFERROR(tblCountriesClean[[#This Row],[Population]]/tblCountriesClean[[#This Row],[Area_km2]],""))</f>
        <v>359.42120343839542</v>
      </c>
      <c r="M68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69" spans="1:13">
      <c r="A69" s="31">
        <v>68</v>
      </c>
      <c r="B69" s="32" t="str">
        <f>_xlfn.XLOOKUP(tblCountriesClean[[#This Row],[Record_ID]],tblCountriesRaw[index],tblCountriesRaw[country],"Check")</f>
        <v>Guatemala</v>
      </c>
      <c r="C69" s="36" t="str" cm="1">
        <f t="array" ref="C69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GT</v>
      </c>
      <c r="D69" s="37" cm="1">
        <f t="array" ref="D69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108889</v>
      </c>
      <c r="E69" s="38" cm="1">
        <f t="array" ref="E69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502</v>
      </c>
      <c r="F69" s="36" t="str" cm="1">
        <f t="array" ref="F69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Guatemala City</v>
      </c>
      <c r="G69" s="37" cm="1">
        <f t="array" ref="G69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76710385880</v>
      </c>
      <c r="H69" s="37" cm="1">
        <f t="array" ref="H69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17357886</v>
      </c>
      <c r="I69" s="39" cm="1">
        <f t="array" ref="I69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0.02</v>
      </c>
      <c r="J69" s="36">
        <f>IF(tblCountriesClean[[#This Row],[Data_Quality_Status]]="CHECK","",1+COUNTIFS(tblCountriesClean[GDP_USD],"&gt;"&amp;tblCountriesClean[[#This Row],[GDP_USD]],tblCountriesClean[Data_Quality_Status],"&lt;&gt;CHECK"))</f>
        <v>70</v>
      </c>
      <c r="K69" s="40">
        <f>IF(tblCountriesClean[[#This Row],[Data_Quality_Status]]="CHECK","",IFERROR(tblCountriesClean[[#This Row],[GDP_USD]]/tblCountriesClean[[#This Row],[Population]],""))</f>
        <v>4419.3391914199692</v>
      </c>
      <c r="L69" s="40">
        <f>IF(tblCountriesClean[[#This Row],[Data_Quality_Status]]="CHECK","",IFERROR(tblCountriesClean[[#This Row],[Population]]/tblCountriesClean[[#This Row],[Area_km2]],""))</f>
        <v>159.40899448061788</v>
      </c>
      <c r="M69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70" spans="1:13">
      <c r="A70" s="31">
        <v>69</v>
      </c>
      <c r="B70" s="32" t="str">
        <f>_xlfn.XLOOKUP(tblCountriesClean[[#This Row],[Record_ID]],tblCountriesRaw[index],tblCountriesRaw[country],"Check")</f>
        <v>Guinea</v>
      </c>
      <c r="C70" s="36" t="str" cm="1">
        <f t="array" ref="C70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GN</v>
      </c>
      <c r="D70" s="37" cm="1">
        <f t="array" ref="D70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245857</v>
      </c>
      <c r="E70" s="38" cm="1">
        <f t="array" ref="E70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224</v>
      </c>
      <c r="F70" s="36" t="str" cm="1">
        <f t="array" ref="F70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Conakry</v>
      </c>
      <c r="G70" s="37" cm="1">
        <f t="array" ref="G70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13590281809</v>
      </c>
      <c r="H70" s="37" cm="1">
        <f t="array" ref="H70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13859341</v>
      </c>
      <c r="I70" s="39" cm="1">
        <f t="array" ref="I70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0.04</v>
      </c>
      <c r="J70" s="36">
        <f>IF(tblCountriesClean[[#This Row],[Data_Quality_Status]]="CHECK","",1+COUNTIFS(tblCountriesClean[GDP_USD],"&gt;"&amp;tblCountriesClean[[#This Row],[GDP_USD]],tblCountriesClean[Data_Quality_Status],"&lt;&gt;CHECK"))</f>
        <v>131</v>
      </c>
      <c r="K70" s="40">
        <f>IF(tblCountriesClean[[#This Row],[Data_Quality_Status]]="CHECK","",IFERROR(tblCountriesClean[[#This Row],[GDP_USD]]/tblCountriesClean[[#This Row],[Population]],""))</f>
        <v>980.58643690201427</v>
      </c>
      <c r="L70" s="40">
        <f>IF(tblCountriesClean[[#This Row],[Data_Quality_Status]]="CHECK","",IFERROR(tblCountriesClean[[#This Row],[Population]]/tblCountriesClean[[#This Row],[Area_km2]],""))</f>
        <v>56.371553382657396</v>
      </c>
      <c r="M70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71" spans="1:13">
      <c r="A71" s="31">
        <v>70</v>
      </c>
      <c r="B71" s="32" t="str">
        <f>_xlfn.XLOOKUP(tblCountriesClean[[#This Row],[Record_ID]],tblCountriesRaw[index],tblCountriesRaw[country],"Check")</f>
        <v>Guinea-Bissau</v>
      </c>
      <c r="C71" s="36" t="str" cm="1">
        <f t="array" ref="C71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GW</v>
      </c>
      <c r="D71" s="37" cm="1">
        <f t="array" ref="D71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36125</v>
      </c>
      <c r="E71" s="38" cm="1">
        <f t="array" ref="E71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245</v>
      </c>
      <c r="F71" s="36" t="str" cm="1">
        <f t="array" ref="F71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Bissau</v>
      </c>
      <c r="G71" s="37" cm="1">
        <f t="array" ref="G71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1340389411</v>
      </c>
      <c r="H71" s="37" cm="1">
        <f t="array" ref="H71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2105566</v>
      </c>
      <c r="I71" s="39" cm="1">
        <f t="array" ref="I71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0.02</v>
      </c>
      <c r="J71" s="36">
        <f>IF(tblCountriesClean[[#This Row],[Data_Quality_Status]]="CHECK","",1+COUNTIFS(tblCountriesClean[GDP_USD],"&gt;"&amp;tblCountriesClean[[#This Row],[GDP_USD]],tblCountriesClean[Data_Quality_Status],"&lt;&gt;CHECK"))</f>
        <v>178</v>
      </c>
      <c r="K71" s="40">
        <f>IF(tblCountriesClean[[#This Row],[Data_Quality_Status]]="CHECK","",IFERROR(tblCountriesClean[[#This Row],[GDP_USD]]/tblCountriesClean[[#This Row],[Population]],""))</f>
        <v>636.59339626494727</v>
      </c>
      <c r="L71" s="40">
        <f>IF(tblCountriesClean[[#This Row],[Data_Quality_Status]]="CHECK","",IFERROR(tblCountriesClean[[#This Row],[Population]]/tblCountriesClean[[#This Row],[Area_km2]],""))</f>
        <v>58.285564013840833</v>
      </c>
      <c r="M71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72" spans="1:13">
      <c r="A72" s="31">
        <v>71</v>
      </c>
      <c r="B72" s="32" t="str">
        <f>_xlfn.XLOOKUP(tblCountriesClean[[#This Row],[Record_ID]],tblCountriesRaw[index],tblCountriesRaw[country],"Check")</f>
        <v>Guyana</v>
      </c>
      <c r="C72" s="36" t="str" cm="1">
        <f t="array" ref="C72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GY</v>
      </c>
      <c r="D72" s="37" cm="1">
        <f t="array" ref="D72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214970</v>
      </c>
      <c r="E72" s="38" cm="1">
        <f t="array" ref="E72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592</v>
      </c>
      <c r="F72" s="36" t="str" cm="1">
        <f t="array" ref="F72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Georgetown, Guyana</v>
      </c>
      <c r="G72" s="37" cm="1">
        <f t="array" ref="G72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4280443645</v>
      </c>
      <c r="H72" s="37" cm="1">
        <f t="array" ref="H72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808726</v>
      </c>
      <c r="I72" s="39" cm="1">
        <f t="array" ref="I72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0.12</v>
      </c>
      <c r="J72" s="36">
        <f>IF(tblCountriesClean[[#This Row],[Data_Quality_Status]]="CHECK","",1+COUNTIFS(tblCountriesClean[GDP_USD],"&gt;"&amp;tblCountriesClean[[#This Row],[GDP_USD]],tblCountriesClean[Data_Quality_Status],"&lt;&gt;CHECK"))</f>
        <v>157</v>
      </c>
      <c r="K72" s="40">
        <f>IF(tblCountriesClean[[#This Row],[Data_Quality_Status]]="CHECK","",IFERROR(tblCountriesClean[[#This Row],[GDP_USD]]/tblCountriesClean[[#This Row],[Population]],""))</f>
        <v>5292.8230884131335</v>
      </c>
      <c r="L72" s="40">
        <f>IF(tblCountriesClean[[#This Row],[Data_Quality_Status]]="CHECK","",IFERROR(tblCountriesClean[[#This Row],[Population]]/tblCountriesClean[[#This Row],[Area_km2]],""))</f>
        <v>3.7620412150532632</v>
      </c>
      <c r="M72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73" spans="1:13">
      <c r="A73" s="31">
        <v>72</v>
      </c>
      <c r="B73" s="32" t="str">
        <f>_xlfn.XLOOKUP(tblCountriesClean[[#This Row],[Record_ID]],tblCountriesRaw[index],tblCountriesRaw[country],"Check")</f>
        <v>Haiti</v>
      </c>
      <c r="C73" s="36" t="str" cm="1">
        <f t="array" ref="C73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HT</v>
      </c>
      <c r="D73" s="37" cm="1">
        <f t="array" ref="D73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27750</v>
      </c>
      <c r="E73" s="38" cm="1">
        <f t="array" ref="E73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509</v>
      </c>
      <c r="F73" s="36" t="str" cm="1">
        <f t="array" ref="F73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Port-au-Prince</v>
      </c>
      <c r="G73" s="37" cm="1">
        <f t="array" ref="G73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8498981821</v>
      </c>
      <c r="H73" s="37" cm="1">
        <f t="array" ref="H73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11584996</v>
      </c>
      <c r="I73" s="39" cm="1">
        <f t="array" ref="I73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0.14000000000000001</v>
      </c>
      <c r="J73" s="36">
        <f>IF(tblCountriesClean[[#This Row],[Data_Quality_Status]]="CHECK","",1+COUNTIFS(tblCountriesClean[GDP_USD],"&gt;"&amp;tblCountriesClean[[#This Row],[GDP_USD]],tblCountriesClean[Data_Quality_Status],"&lt;&gt;CHECK"))</f>
        <v>144</v>
      </c>
      <c r="K73" s="40">
        <f>IF(tblCountriesClean[[#This Row],[Data_Quality_Status]]="CHECK","",IFERROR(tblCountriesClean[[#This Row],[GDP_USD]]/tblCountriesClean[[#This Row],[Population]],""))</f>
        <v>733.61974583331755</v>
      </c>
      <c r="L73" s="40">
        <f>IF(tblCountriesClean[[#This Row],[Data_Quality_Status]]="CHECK","",IFERROR(tblCountriesClean[[#This Row],[Population]]/tblCountriesClean[[#This Row],[Area_km2]],""))</f>
        <v>417.47733333333332</v>
      </c>
      <c r="M73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74" spans="1:13">
      <c r="A74" s="31">
        <v>73</v>
      </c>
      <c r="B74" s="32" t="str">
        <f>_xlfn.XLOOKUP(tblCountriesClean[[#This Row],[Record_ID]],tblCountriesRaw[index],tblCountriesRaw[country],"Check")</f>
        <v>Honduras</v>
      </c>
      <c r="C74" s="36" t="str" cm="1">
        <f t="array" ref="C74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HN</v>
      </c>
      <c r="D74" s="37" cm="1">
        <f t="array" ref="D74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112492</v>
      </c>
      <c r="E74" s="38" cm="1">
        <f t="array" ref="E74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504</v>
      </c>
      <c r="F74" s="36" t="str" cm="1">
        <f t="array" ref="F74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Tegucigalpa</v>
      </c>
      <c r="G74" s="37" cm="1">
        <f t="array" ref="G74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25095395475</v>
      </c>
      <c r="H74" s="37" cm="1">
        <f t="array" ref="H74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10432860</v>
      </c>
      <c r="I74" s="39" cm="1">
        <f t="array" ref="I74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0.05</v>
      </c>
      <c r="J74" s="36">
        <f>IF(tblCountriesClean[[#This Row],[Data_Quality_Status]]="CHECK","",1+COUNTIFS(tblCountriesClean[GDP_USD],"&gt;"&amp;tblCountriesClean[[#This Row],[GDP_USD]],tblCountriesClean[Data_Quality_Status],"&lt;&gt;CHECK"))</f>
        <v>105</v>
      </c>
      <c r="K74" s="40">
        <f>IF(tblCountriesClean[[#This Row],[Data_Quality_Status]]="CHECK","",IFERROR(tblCountriesClean[[#This Row],[GDP_USD]]/tblCountriesClean[[#This Row],[Population]],""))</f>
        <v>2405.4185980641932</v>
      </c>
      <c r="L74" s="40">
        <f>IF(tblCountriesClean[[#This Row],[Data_Quality_Status]]="CHECK","",IFERROR(tblCountriesClean[[#This Row],[Population]]/tblCountriesClean[[#This Row],[Area_km2]],""))</f>
        <v>92.743128400241801</v>
      </c>
      <c r="M74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75" spans="1:13">
      <c r="A75" s="31">
        <v>74</v>
      </c>
      <c r="B75" s="32" t="str">
        <f>_xlfn.XLOOKUP(tblCountriesClean[[#This Row],[Record_ID]],tblCountriesRaw[index],tblCountriesRaw[country],"Check")</f>
        <v>Hungary</v>
      </c>
      <c r="C75" s="36" t="str" cm="1">
        <f t="array" ref="C75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HU</v>
      </c>
      <c r="D75" s="37" cm="1">
        <f t="array" ref="D75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93011</v>
      </c>
      <c r="E75" s="38" cm="1">
        <f t="array" ref="E75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36</v>
      </c>
      <c r="F75" s="36" t="str" cm="1">
        <f t="array" ref="F75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Budapest</v>
      </c>
      <c r="G75" s="37" cm="1">
        <f t="array" ref="G75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160967157504</v>
      </c>
      <c r="H75" s="37" cm="1">
        <f t="array" ref="H75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9683505</v>
      </c>
      <c r="I75" s="39" cm="1">
        <f t="array" ref="I75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0.03</v>
      </c>
      <c r="J75" s="36">
        <f>IF(tblCountriesClean[[#This Row],[Data_Quality_Status]]="CHECK","",1+COUNTIFS(tblCountriesClean[GDP_USD],"&gt;"&amp;tblCountriesClean[[#This Row],[GDP_USD]],tblCountriesClean[Data_Quality_Status],"&lt;&gt;CHECK"))</f>
        <v>56</v>
      </c>
      <c r="K75" s="40">
        <f>IF(tblCountriesClean[[#This Row],[Data_Quality_Status]]="CHECK","",IFERROR(tblCountriesClean[[#This Row],[GDP_USD]]/tblCountriesClean[[#This Row],[Population]],""))</f>
        <v>16622.819681923022</v>
      </c>
      <c r="L75" s="40">
        <f>IF(tblCountriesClean[[#This Row],[Data_Quality_Status]]="CHECK","",IFERROR(tblCountriesClean[[#This Row],[Population]]/tblCountriesClean[[#This Row],[Area_km2]],""))</f>
        <v>104.11139542634741</v>
      </c>
      <c r="M75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76" spans="1:13">
      <c r="A76" s="31">
        <v>75</v>
      </c>
      <c r="B76" s="32" t="str">
        <f>_xlfn.XLOOKUP(tblCountriesClean[[#This Row],[Record_ID]],tblCountriesRaw[index],tblCountriesRaw[country],"Check")</f>
        <v>Iceland</v>
      </c>
      <c r="C76" s="36" t="str" cm="1">
        <f t="array" ref="C76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IS</v>
      </c>
      <c r="D76" s="37" cm="1">
        <f t="array" ref="D76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103004</v>
      </c>
      <c r="E76" s="38" cm="1">
        <f t="array" ref="E76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354</v>
      </c>
      <c r="F76" s="36" t="str" cm="1">
        <f t="array" ref="F76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Reykjavík</v>
      </c>
      <c r="G76" s="37" cm="1">
        <f t="array" ref="G76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24188035739</v>
      </c>
      <c r="H76" s="37" cm="1">
        <f t="array" ref="H76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381900</v>
      </c>
      <c r="I76" s="39" cm="1">
        <f t="array" ref="I76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0.03</v>
      </c>
      <c r="J76" s="36">
        <f>IF(tblCountriesClean[[#This Row],[Data_Quality_Status]]="CHECK","",1+COUNTIFS(tblCountriesClean[GDP_USD],"&gt;"&amp;tblCountriesClean[[#This Row],[GDP_USD]],tblCountriesClean[Data_Quality_Status],"&lt;&gt;CHECK"))</f>
        <v>108</v>
      </c>
      <c r="K76" s="40">
        <f>IF(tblCountriesClean[[#This Row],[Data_Quality_Status]]="CHECK","",IFERROR(tblCountriesClean[[#This Row],[GDP_USD]]/tblCountriesClean[[#This Row],[Population]],""))</f>
        <v>63336.045401937678</v>
      </c>
      <c r="L76" s="40">
        <f>IF(tblCountriesClean[[#This Row],[Data_Quality_Status]]="CHECK","",IFERROR(tblCountriesClean[[#This Row],[Population]]/tblCountriesClean[[#This Row],[Area_km2]],""))</f>
        <v>3.7076230049318473</v>
      </c>
      <c r="M76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77" spans="1:13">
      <c r="A77" s="31">
        <v>76</v>
      </c>
      <c r="B77" s="32" t="str">
        <f>_xlfn.XLOOKUP(tblCountriesClean[[#This Row],[Record_ID]],tblCountriesRaw[index],tblCountriesRaw[country],"Check")</f>
        <v>India</v>
      </c>
      <c r="C77" s="36" t="str" cm="1">
        <f t="array" ref="C77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IN</v>
      </c>
      <c r="D77" s="37" cm="1">
        <f t="array" ref="D77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3287263</v>
      </c>
      <c r="E77" s="38" cm="1">
        <f t="array" ref="E77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91</v>
      </c>
      <c r="F77" s="36" t="str" cm="1">
        <f t="array" ref="F77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New Delhi</v>
      </c>
      <c r="G77" s="37" cm="1">
        <f t="array" ref="G77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2611000000000</v>
      </c>
      <c r="H77" s="37" cm="1">
        <f t="array" ref="H77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1417173173</v>
      </c>
      <c r="I77" s="39" cm="1">
        <f t="array" ref="I77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0.05</v>
      </c>
      <c r="J77" s="36">
        <f>IF(tblCountriesClean[[#This Row],[Data_Quality_Status]]="CHECK","",1+COUNTIFS(tblCountriesClean[GDP_USD],"&gt;"&amp;tblCountriesClean[[#This Row],[GDP_USD]],tblCountriesClean[Data_Quality_Status],"&lt;&gt;CHECK"))</f>
        <v>7</v>
      </c>
      <c r="K77" s="40">
        <f>IF(tblCountriesClean[[#This Row],[Data_Quality_Status]]="CHECK","",IFERROR(tblCountriesClean[[#This Row],[GDP_USD]]/tblCountriesClean[[#This Row],[Population]],""))</f>
        <v>1842.4001030677146</v>
      </c>
      <c r="L77" s="40">
        <f>IF(tblCountriesClean[[#This Row],[Data_Quality_Status]]="CHECK","",IFERROR(tblCountriesClean[[#This Row],[Population]]/tblCountriesClean[[#This Row],[Area_km2]],""))</f>
        <v>431.11037145491554</v>
      </c>
      <c r="M77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78" spans="1:13">
      <c r="A78" s="31">
        <v>77</v>
      </c>
      <c r="B78" s="32" t="str">
        <f>_xlfn.XLOOKUP(tblCountriesClean[[#This Row],[Record_ID]],tblCountriesRaw[index],tblCountriesRaw[country],"Check")</f>
        <v>Indonesia</v>
      </c>
      <c r="C78" s="36" t="str" cm="1">
        <f t="array" ref="C78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ID</v>
      </c>
      <c r="D78" s="37" cm="1">
        <f t="array" ref="D78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1904570</v>
      </c>
      <c r="E78" s="38" cm="1">
        <f t="array" ref="E78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62</v>
      </c>
      <c r="F78" s="36" t="str" cm="1">
        <f t="array" ref="F78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Jakarta</v>
      </c>
      <c r="G78" s="37" cm="1">
        <f t="array" ref="G78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1119190780753</v>
      </c>
      <c r="H78" s="37" cm="1">
        <f t="array" ref="H78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275501339</v>
      </c>
      <c r="I78" s="39" cm="1">
        <f t="array" ref="I78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0.05</v>
      </c>
      <c r="J78" s="36">
        <f>IF(tblCountriesClean[[#This Row],[Data_Quality_Status]]="CHECK","",1+COUNTIFS(tblCountriesClean[GDP_USD],"&gt;"&amp;tblCountriesClean[[#This Row],[GDP_USD]],tblCountriesClean[Data_Quality_Status],"&lt;&gt;CHECK"))</f>
        <v>16</v>
      </c>
      <c r="K78" s="40">
        <f>IF(tblCountriesClean[[#This Row],[Data_Quality_Status]]="CHECK","",IFERROR(tblCountriesClean[[#This Row],[GDP_USD]]/tblCountriesClean[[#This Row],[Population]],""))</f>
        <v>4062.3787340394742</v>
      </c>
      <c r="L78" s="40">
        <f>IF(tblCountriesClean[[#This Row],[Data_Quality_Status]]="CHECK","",IFERROR(tblCountriesClean[[#This Row],[Population]]/tblCountriesClean[[#This Row],[Area_km2]],""))</f>
        <v>144.65277674225678</v>
      </c>
      <c r="M78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79" spans="1:13">
      <c r="A79" s="31">
        <v>78</v>
      </c>
      <c r="B79" s="32" t="str">
        <f>_xlfn.XLOOKUP(tblCountriesClean[[#This Row],[Record_ID]],tblCountriesRaw[index],tblCountriesRaw[country],"Check")</f>
        <v>Iran</v>
      </c>
      <c r="C79" s="36" t="str" cm="1">
        <f t="array" ref="C79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IR</v>
      </c>
      <c r="D79" s="37" cm="1">
        <f t="array" ref="D79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1648195</v>
      </c>
      <c r="E79" s="38" cm="1">
        <f t="array" ref="E79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98</v>
      </c>
      <c r="F79" s="36" t="str" cm="1">
        <f t="array" ref="F79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Tehran</v>
      </c>
      <c r="G79" s="37" cm="1">
        <f t="array" ref="G79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445345282123</v>
      </c>
      <c r="H79" s="37" cm="1">
        <f t="array" ref="H79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88550570</v>
      </c>
      <c r="I79" s="39" cm="1">
        <f t="array" ref="I79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0.11</v>
      </c>
      <c r="J79" s="36">
        <f>IF(tblCountriesClean[[#This Row],[Data_Quality_Status]]="CHECK","",1+COUNTIFS(tblCountriesClean[GDP_USD],"&gt;"&amp;tblCountriesClean[[#This Row],[GDP_USD]],tblCountriesClean[Data_Quality_Status],"&lt;&gt;CHECK"))</f>
        <v>29</v>
      </c>
      <c r="K79" s="40">
        <f>IF(tblCountriesClean[[#This Row],[Data_Quality_Status]]="CHECK","",IFERROR(tblCountriesClean[[#This Row],[GDP_USD]]/tblCountriesClean[[#This Row],[Population]],""))</f>
        <v>5029.2762895032747</v>
      </c>
      <c r="L79" s="40">
        <f>IF(tblCountriesClean[[#This Row],[Data_Quality_Status]]="CHECK","",IFERROR(tblCountriesClean[[#This Row],[Population]]/tblCountriesClean[[#This Row],[Area_km2]],""))</f>
        <v>53.725784873755835</v>
      </c>
      <c r="M79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80" spans="1:13">
      <c r="A80" s="31">
        <v>79</v>
      </c>
      <c r="B80" s="32" t="str">
        <f>_xlfn.XLOOKUP(tblCountriesClean[[#This Row],[Record_ID]],tblCountriesRaw[index],tblCountriesRaw[country],"Check")</f>
        <v>Iraq</v>
      </c>
      <c r="C80" s="36" t="str" cm="1">
        <f t="array" ref="C80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IQ</v>
      </c>
      <c r="D80" s="37" cm="1">
        <f t="array" ref="D80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437072</v>
      </c>
      <c r="E80" s="38" cm="1">
        <f t="array" ref="E80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964</v>
      </c>
      <c r="F80" s="36" t="str" cm="1">
        <f t="array" ref="F80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Baghdad</v>
      </c>
      <c r="G80" s="37" cm="1">
        <f t="array" ref="G80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234094042939</v>
      </c>
      <c r="H80" s="37" cm="1">
        <f t="array" ref="H80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44496122</v>
      </c>
      <c r="I80" s="39" cm="1">
        <f t="array" ref="I80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0.13</v>
      </c>
      <c r="J80" s="36">
        <f>IF(tblCountriesClean[[#This Row],[Data_Quality_Status]]="CHECK","",1+COUNTIFS(tblCountriesClean[GDP_USD],"&gt;"&amp;tblCountriesClean[[#This Row],[GDP_USD]],tblCountriesClean[Data_Quality_Status],"&lt;&gt;CHECK"))</f>
        <v>49</v>
      </c>
      <c r="K80" s="40">
        <f>IF(tblCountriesClean[[#This Row],[Data_Quality_Status]]="CHECK","",IFERROR(tblCountriesClean[[#This Row],[GDP_USD]]/tblCountriesClean[[#This Row],[Population]],""))</f>
        <v>5260.9987661171908</v>
      </c>
      <c r="L80" s="40">
        <f>IF(tblCountriesClean[[#This Row],[Data_Quality_Status]]="CHECK","",IFERROR(tblCountriesClean[[#This Row],[Population]]/tblCountriesClean[[#This Row],[Area_km2]],""))</f>
        <v>101.80501610718601</v>
      </c>
      <c r="M80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81" spans="1:13">
      <c r="A81" s="31">
        <v>80</v>
      </c>
      <c r="B81" s="32" t="str">
        <f>_xlfn.XLOOKUP(tblCountriesClean[[#This Row],[Record_ID]],tblCountriesRaw[index],tblCountriesRaw[country],"Check")</f>
        <v>Republic of Ireland</v>
      </c>
      <c r="C81" s="36" t="str" cm="1">
        <f t="array" ref="C81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IE</v>
      </c>
      <c r="D81" s="37" cm="1">
        <f t="array" ref="D81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69797</v>
      </c>
      <c r="E81" s="38" cm="1">
        <f t="array" ref="E81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353</v>
      </c>
      <c r="F81" s="36" t="str" cm="1">
        <f t="array" ref="F81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Dublin</v>
      </c>
      <c r="G81" s="37" cm="1">
        <f t="array" ref="G81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388698711348</v>
      </c>
      <c r="H81" s="37" cm="1">
        <f t="array" ref="H81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5086988</v>
      </c>
      <c r="I81" s="39" cm="1">
        <f t="array" ref="I81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0.05</v>
      </c>
      <c r="J81" s="36">
        <f>IF(tblCountriesClean[[#This Row],[Data_Quality_Status]]="CHECK","",1+COUNTIFS(tblCountriesClean[GDP_USD],"&gt;"&amp;tblCountriesClean[[#This Row],[GDP_USD]],tblCountriesClean[Data_Quality_Status],"&lt;&gt;CHECK"))</f>
        <v>33</v>
      </c>
      <c r="K81" s="40">
        <f>IF(tblCountriesClean[[#This Row],[Data_Quality_Status]]="CHECK","",IFERROR(tblCountriesClean[[#This Row],[GDP_USD]]/tblCountriesClean[[#This Row],[Population]],""))</f>
        <v>76410.384956284543</v>
      </c>
      <c r="L81" s="40">
        <f>IF(tblCountriesClean[[#This Row],[Data_Quality_Status]]="CHECK","",IFERROR(tblCountriesClean[[#This Row],[Population]]/tblCountriesClean[[#This Row],[Area_km2]],""))</f>
        <v>72.882616731378135</v>
      </c>
      <c r="M81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CORRECTED</v>
      </c>
    </row>
    <row r="82" spans="1:13">
      <c r="A82" s="31">
        <v>81</v>
      </c>
      <c r="B82" s="32" t="str">
        <f>_xlfn.XLOOKUP(tblCountriesClean[[#This Row],[Record_ID]],tblCountriesRaw[index],tblCountriesRaw[country],"Check")</f>
        <v>Israel</v>
      </c>
      <c r="C82" s="36" t="str" cm="1">
        <f t="array" ref="C82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IL</v>
      </c>
      <c r="D82" s="37" cm="1">
        <f t="array" ref="D82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20770</v>
      </c>
      <c r="E82" s="38" cm="1">
        <f t="array" ref="E82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972</v>
      </c>
      <c r="F82" s="36" t="str" cm="1">
        <f t="array" ref="F82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Jerusalem</v>
      </c>
      <c r="G82" s="37" cm="1">
        <f t="array" ref="G82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395098666122</v>
      </c>
      <c r="H82" s="37" cm="1">
        <f t="array" ref="H82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9550600</v>
      </c>
      <c r="I82" s="39" cm="1">
        <f t="array" ref="I82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0.04</v>
      </c>
      <c r="J82" s="36">
        <f>IF(tblCountriesClean[[#This Row],[Data_Quality_Status]]="CHECK","",1+COUNTIFS(tblCountriesClean[GDP_USD],"&gt;"&amp;tblCountriesClean[[#This Row],[GDP_USD]],tblCountriesClean[Data_Quality_Status],"&lt;&gt;CHECK"))</f>
        <v>32</v>
      </c>
      <c r="K82" s="40">
        <f>IF(tblCountriesClean[[#This Row],[Data_Quality_Status]]="CHECK","",IFERROR(tblCountriesClean[[#This Row],[GDP_USD]]/tblCountriesClean[[#This Row],[Population]],""))</f>
        <v>41368.988976818211</v>
      </c>
      <c r="L82" s="40">
        <f>IF(tblCountriesClean[[#This Row],[Data_Quality_Status]]="CHECK","",IFERROR(tblCountriesClean[[#This Row],[Population]]/tblCountriesClean[[#This Row],[Area_km2]],""))</f>
        <v>459.82667308618198</v>
      </c>
      <c r="M82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83" spans="1:13">
      <c r="A83" s="31">
        <v>82</v>
      </c>
      <c r="B83" s="32" t="str">
        <f>_xlfn.XLOOKUP(tblCountriesClean[[#This Row],[Record_ID]],tblCountriesRaw[index],tblCountriesRaw[country],"Check")</f>
        <v>Italy</v>
      </c>
      <c r="C83" s="36" t="str" cm="1">
        <f t="array" ref="C83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IT</v>
      </c>
      <c r="D83" s="37" cm="1">
        <f t="array" ref="D83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302068</v>
      </c>
      <c r="E83" s="38" cm="1">
        <f t="array" ref="E83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39</v>
      </c>
      <c r="F83" s="36" t="str" cm="1">
        <f t="array" ref="F83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Rome</v>
      </c>
      <c r="G83" s="37" cm="1">
        <f t="array" ref="G83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2001244392042</v>
      </c>
      <c r="H83" s="37" cm="1">
        <f t="array" ref="H83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58856847</v>
      </c>
      <c r="I83" s="39" cm="1">
        <f t="array" ref="I83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</v>
      </c>
      <c r="J83" s="36">
        <f>IF(tblCountriesClean[[#This Row],[Data_Quality_Status]]="CHECK","",1+COUNTIFS(tblCountriesClean[GDP_USD],"&gt;"&amp;tblCountriesClean[[#This Row],[GDP_USD]],tblCountriesClean[Data_Quality_Status],"&lt;&gt;CHECK"))</f>
        <v>9</v>
      </c>
      <c r="K83" s="40">
        <f>IF(tblCountriesClean[[#This Row],[Data_Quality_Status]]="CHECK","",IFERROR(tblCountriesClean[[#This Row],[GDP_USD]]/tblCountriesClean[[#This Row],[Population]],""))</f>
        <v>34001.896024807444</v>
      </c>
      <c r="L83" s="40">
        <f>IF(tblCountriesClean[[#This Row],[Data_Quality_Status]]="CHECK","",IFERROR(tblCountriesClean[[#This Row],[Population]]/tblCountriesClean[[#This Row],[Area_km2]],""))</f>
        <v>194.84634916641286</v>
      </c>
      <c r="M83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84" spans="1:13">
      <c r="A84" s="31">
        <v>83</v>
      </c>
      <c r="B84" s="32" t="str">
        <f>_xlfn.XLOOKUP(tblCountriesClean[[#This Row],[Record_ID]],tblCountriesRaw[index],tblCountriesRaw[country],"Check")</f>
        <v>Ivory Coast</v>
      </c>
      <c r="C84" s="36" t="str" cm="1">
        <f t="array" ref="C84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CI</v>
      </c>
      <c r="D84" s="37" cm="1">
        <f t="array" ref="D84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322463</v>
      </c>
      <c r="E84" s="38" cm="1">
        <f t="array" ref="E84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225</v>
      </c>
      <c r="F84" s="36" t="str" cm="1">
        <f t="array" ref="F84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Yamoussoukro</v>
      </c>
      <c r="G84" s="37" cm="1">
        <f t="array" ref="G84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58792205642</v>
      </c>
      <c r="H84" s="37" cm="1">
        <f t="array" ref="H84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28160542</v>
      </c>
      <c r="I84" s="39" cm="1">
        <f t="array" ref="I84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0.03</v>
      </c>
      <c r="J84" s="36">
        <f>IF(tblCountriesClean[[#This Row],[Data_Quality_Status]]="CHECK","",1+COUNTIFS(tblCountriesClean[GDP_USD],"&gt;"&amp;tblCountriesClean[[#This Row],[GDP_USD]],tblCountriesClean[Data_Quality_Status],"&lt;&gt;CHECK"))</f>
        <v>79</v>
      </c>
      <c r="K84" s="40">
        <f>IF(tblCountriesClean[[#This Row],[Data_Quality_Status]]="CHECK","",IFERROR(tblCountriesClean[[#This Row],[GDP_USD]]/tblCountriesClean[[#This Row],[Population]],""))</f>
        <v>2087.7512102572459</v>
      </c>
      <c r="L84" s="40">
        <f>IF(tblCountriesClean[[#This Row],[Data_Quality_Status]]="CHECK","",IFERROR(tblCountriesClean[[#This Row],[Population]]/tblCountriesClean[[#This Row],[Area_km2]],""))</f>
        <v>87.32952927932817</v>
      </c>
      <c r="M84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85" spans="1:13">
      <c r="A85" s="31">
        <v>84</v>
      </c>
      <c r="B85" s="32" t="str">
        <f>_xlfn.XLOOKUP(tblCountriesClean[[#This Row],[Record_ID]],tblCountriesRaw[index],tblCountriesRaw[country],"Check")</f>
        <v>Jamaica</v>
      </c>
      <c r="C85" s="36" t="str" cm="1">
        <f t="array" ref="C85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JM</v>
      </c>
      <c r="D85" s="37" cm="1">
        <f t="array" ref="D85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10992</v>
      </c>
      <c r="E85" s="38" cm="1">
        <f t="array" ref="E85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1876</v>
      </c>
      <c r="F85" s="36" t="str" cm="1">
        <f t="array" ref="F85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Kingston, Jamaica</v>
      </c>
      <c r="G85" s="37" cm="1">
        <f t="array" ref="G85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16458071068</v>
      </c>
      <c r="H85" s="37" cm="1">
        <f t="array" ref="H85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2827377</v>
      </c>
      <c r="I85" s="39" cm="1">
        <f t="array" ref="I85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0.08</v>
      </c>
      <c r="J85" s="36">
        <f>IF(tblCountriesClean[[#This Row],[Data_Quality_Status]]="CHECK","",1+COUNTIFS(tblCountriesClean[GDP_USD],"&gt;"&amp;tblCountriesClean[[#This Row],[GDP_USD]],tblCountriesClean[Data_Quality_Status],"&lt;&gt;CHECK"))</f>
        <v>121</v>
      </c>
      <c r="K85" s="40">
        <f>IF(tblCountriesClean[[#This Row],[Data_Quality_Status]]="CHECK","",IFERROR(tblCountriesClean[[#This Row],[GDP_USD]]/tblCountriesClean[[#This Row],[Population]],""))</f>
        <v>5820.9680095721233</v>
      </c>
      <c r="L85" s="40">
        <f>IF(tblCountriesClean[[#This Row],[Data_Quality_Status]]="CHECK","",IFERROR(tblCountriesClean[[#This Row],[Population]]/tblCountriesClean[[#This Row],[Area_km2]],""))</f>
        <v>257.22134279475983</v>
      </c>
      <c r="M85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86" spans="1:13">
      <c r="A86" s="31">
        <v>85</v>
      </c>
      <c r="B86" s="32" t="str">
        <f>_xlfn.XLOOKUP(tblCountriesClean[[#This Row],[Record_ID]],tblCountriesRaw[index],tblCountriesRaw[country],"Check")</f>
        <v>Japan</v>
      </c>
      <c r="C86" s="36" t="str" cm="1">
        <f t="array" ref="C86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JP</v>
      </c>
      <c r="D86" s="37" cm="1">
        <f t="array" ref="D86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377972</v>
      </c>
      <c r="E86" s="38" cm="1">
        <f t="array" ref="E86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81</v>
      </c>
      <c r="F86" s="36" t="str" cm="1">
        <f t="array" ref="F86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Tokyo</v>
      </c>
      <c r="G86" s="37" cm="1">
        <f t="array" ref="G86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5081769542380</v>
      </c>
      <c r="H86" s="37" cm="1">
        <f t="array" ref="H86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125124989</v>
      </c>
      <c r="I86" s="39" cm="1">
        <f t="array" ref="I86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0.02</v>
      </c>
      <c r="J86" s="36">
        <f>IF(tblCountriesClean[[#This Row],[Data_Quality_Status]]="CHECK","",1+COUNTIFS(tblCountriesClean[GDP_USD],"&gt;"&amp;tblCountriesClean[[#This Row],[GDP_USD]],tblCountriesClean[Data_Quality_Status],"&lt;&gt;CHECK"))</f>
        <v>3</v>
      </c>
      <c r="K86" s="40">
        <f>IF(tblCountriesClean[[#This Row],[Data_Quality_Status]]="CHECK","",IFERROR(tblCountriesClean[[#This Row],[GDP_USD]]/tblCountriesClean[[#This Row],[Population]],""))</f>
        <v>40613.546366665418</v>
      </c>
      <c r="L86" s="40">
        <f>IF(tblCountriesClean[[#This Row],[Data_Quality_Status]]="CHECK","",IFERROR(tblCountriesClean[[#This Row],[Population]]/tblCountriesClean[[#This Row],[Area_km2]],""))</f>
        <v>331.04301112251699</v>
      </c>
      <c r="M86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87" spans="1:13">
      <c r="A87" s="31">
        <v>86</v>
      </c>
      <c r="B87" s="32" t="str">
        <f>_xlfn.XLOOKUP(tblCountriesClean[[#This Row],[Record_ID]],tblCountriesRaw[index],tblCountriesRaw[country],"Check")</f>
        <v>Jordan</v>
      </c>
      <c r="C87" s="36" t="str" cm="1">
        <f t="array" ref="C87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JO</v>
      </c>
      <c r="D87" s="37" cm="1">
        <f t="array" ref="D87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89341</v>
      </c>
      <c r="E87" s="38" cm="1">
        <f t="array" ref="E87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962</v>
      </c>
      <c r="F87" s="36" t="str" cm="1">
        <f t="array" ref="F87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Amman</v>
      </c>
      <c r="G87" s="37" cm="1">
        <f t="array" ref="G87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43743661972</v>
      </c>
      <c r="H87" s="37" cm="1">
        <f t="array" ref="H87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11285869</v>
      </c>
      <c r="I87" s="39" cm="1">
        <f t="array" ref="I87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0.15</v>
      </c>
      <c r="J87" s="36">
        <f>IF(tblCountriesClean[[#This Row],[Data_Quality_Status]]="CHECK","",1+COUNTIFS(tblCountriesClean[GDP_USD],"&gt;"&amp;tblCountriesClean[[#This Row],[GDP_USD]],tblCountriesClean[Data_Quality_Status],"&lt;&gt;CHECK"))</f>
        <v>88</v>
      </c>
      <c r="K87" s="40">
        <f>IF(tblCountriesClean[[#This Row],[Data_Quality_Status]]="CHECK","",IFERROR(tblCountriesClean[[#This Row],[GDP_USD]]/tblCountriesClean[[#This Row],[Population]],""))</f>
        <v>3875.9675459638952</v>
      </c>
      <c r="L87" s="40">
        <f>IF(tblCountriesClean[[#This Row],[Data_Quality_Status]]="CHECK","",IFERROR(tblCountriesClean[[#This Row],[Population]]/tblCountriesClean[[#This Row],[Area_km2]],""))</f>
        <v>126.32351328057666</v>
      </c>
      <c r="M87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88" spans="1:13">
      <c r="A88" s="31">
        <v>87</v>
      </c>
      <c r="B88" s="32" t="str">
        <f>_xlfn.XLOOKUP(tblCountriesClean[[#This Row],[Record_ID]],tblCountriesRaw[index],tblCountriesRaw[country],"Check")</f>
        <v>Kazakhstan</v>
      </c>
      <c r="C88" s="36" t="str" cm="1">
        <f t="array" ref="C88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KZ</v>
      </c>
      <c r="D88" s="37" cm="1">
        <f t="array" ref="D88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2724900</v>
      </c>
      <c r="E88" s="38" cm="1">
        <f t="array" ref="E88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7</v>
      </c>
      <c r="F88" s="36" t="str" cm="1">
        <f t="array" ref="F88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Astana</v>
      </c>
      <c r="G88" s="37" cm="1">
        <f t="array" ref="G88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180161741180</v>
      </c>
      <c r="H88" s="37" cm="1">
        <f t="array" ref="H88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19621972</v>
      </c>
      <c r="I88" s="39" cm="1">
        <f t="array" ref="I88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0.05</v>
      </c>
      <c r="J88" s="36">
        <f>IF(tblCountriesClean[[#This Row],[Data_Quality_Status]]="CHECK","",1+COUNTIFS(tblCountriesClean[GDP_USD],"&gt;"&amp;tblCountriesClean[[#This Row],[GDP_USD]],tblCountriesClean[Data_Quality_Status],"&lt;&gt;CHECK"))</f>
        <v>54</v>
      </c>
      <c r="K88" s="40">
        <f>IF(tblCountriesClean[[#This Row],[Data_Quality_Status]]="CHECK","",IFERROR(tblCountriesClean[[#This Row],[GDP_USD]]/tblCountriesClean[[#This Row],[Population]],""))</f>
        <v>9181.632772689718</v>
      </c>
      <c r="L88" s="40">
        <f>IF(tblCountriesClean[[#This Row],[Data_Quality_Status]]="CHECK","",IFERROR(tblCountriesClean[[#This Row],[Population]]/tblCountriesClean[[#This Row],[Area_km2]],""))</f>
        <v>7.2009879261624281</v>
      </c>
      <c r="M88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89" spans="1:13">
      <c r="A89" s="31">
        <v>88</v>
      </c>
      <c r="B89" s="32" t="str">
        <f>_xlfn.XLOOKUP(tblCountriesClean[[#This Row],[Record_ID]],tblCountriesRaw[index],tblCountriesRaw[country],"Check")</f>
        <v>Kenya</v>
      </c>
      <c r="C89" s="36" t="str" cm="1">
        <f t="array" ref="C89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KE</v>
      </c>
      <c r="D89" s="37" cm="1">
        <f t="array" ref="D89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581309</v>
      </c>
      <c r="E89" s="38" cm="1">
        <f t="array" ref="E89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254</v>
      </c>
      <c r="F89" s="36" t="str" cm="1">
        <f t="array" ref="F89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Nairobi</v>
      </c>
      <c r="G89" s="37" cm="1">
        <f t="array" ref="G89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95503088538</v>
      </c>
      <c r="H89" s="37" cm="1">
        <f t="array" ref="H89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54027487</v>
      </c>
      <c r="I89" s="39" cm="1">
        <f t="array" ref="I89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0.03</v>
      </c>
      <c r="J89" s="36">
        <f>IF(tblCountriesClean[[#This Row],[Data_Quality_Status]]="CHECK","",1+COUNTIFS(tblCountriesClean[GDP_USD],"&gt;"&amp;tblCountriesClean[[#This Row],[GDP_USD]],tblCountriesClean[Data_Quality_Status],"&lt;&gt;CHECK"))</f>
        <v>64</v>
      </c>
      <c r="K89" s="40">
        <f>IF(tblCountriesClean[[#This Row],[Data_Quality_Status]]="CHECK","",IFERROR(tblCountriesClean[[#This Row],[GDP_USD]]/tblCountriesClean[[#This Row],[Population]],""))</f>
        <v>1767.6759338815814</v>
      </c>
      <c r="L89" s="40">
        <f>IF(tblCountriesClean[[#This Row],[Data_Quality_Status]]="CHECK","",IFERROR(tblCountriesClean[[#This Row],[Population]]/tblCountriesClean[[#This Row],[Area_km2]],""))</f>
        <v>92.941081249387153</v>
      </c>
      <c r="M89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90" spans="1:13">
      <c r="A90" s="31">
        <v>89</v>
      </c>
      <c r="B90" s="32" t="str">
        <f>_xlfn.XLOOKUP(tblCountriesClean[[#This Row],[Record_ID]],tblCountriesRaw[index],tblCountriesRaw[country],"Check")</f>
        <v>Kiribati</v>
      </c>
      <c r="C90" s="36" t="str" cm="1">
        <f t="array" ref="C90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KI</v>
      </c>
      <c r="D90" s="37" cm="1">
        <f t="array" ref="D90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811</v>
      </c>
      <c r="E90" s="38" cm="1">
        <f t="array" ref="E90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686</v>
      </c>
      <c r="F90" s="36" t="str" cm="1">
        <f t="array" ref="F90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South Tarawa</v>
      </c>
      <c r="G90" s="37" cm="1">
        <f t="array" ref="G90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194647202</v>
      </c>
      <c r="H90" s="37" cm="1">
        <f t="array" ref="H90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131232</v>
      </c>
      <c r="I90" s="39" cm="1">
        <f t="array" ref="I90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0.02</v>
      </c>
      <c r="J90" s="36">
        <f>IF(tblCountriesClean[[#This Row],[Data_Quality_Status]]="CHECK","",1+COUNTIFS(tblCountriesClean[GDP_USD],"&gt;"&amp;tblCountriesClean[[#This Row],[GDP_USD]],tblCountriesClean[Data_Quality_Status],"&lt;&gt;CHECK"))</f>
        <v>191</v>
      </c>
      <c r="K90" s="40">
        <f>IF(tblCountriesClean[[#This Row],[Data_Quality_Status]]="CHECK","",IFERROR(tblCountriesClean[[#This Row],[GDP_USD]]/tblCountriesClean[[#This Row],[Population]],""))</f>
        <v>1483.2297153133381</v>
      </c>
      <c r="L90" s="40">
        <f>IF(tblCountriesClean[[#This Row],[Data_Quality_Status]]="CHECK","",IFERROR(tblCountriesClean[[#This Row],[Population]]/tblCountriesClean[[#This Row],[Area_km2]],""))</f>
        <v>161.8150431565968</v>
      </c>
      <c r="M90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CORRECTED</v>
      </c>
    </row>
    <row r="91" spans="1:13">
      <c r="A91" s="31">
        <v>90</v>
      </c>
      <c r="B91" s="32" t="str">
        <f>_xlfn.XLOOKUP(tblCountriesClean[[#This Row],[Record_ID]],tblCountriesRaw[index],tblCountriesRaw[country],"Check")</f>
        <v>Kuwait</v>
      </c>
      <c r="C91" s="36" t="str" cm="1">
        <f t="array" ref="C91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KW</v>
      </c>
      <c r="D91" s="37" cm="1">
        <f t="array" ref="D91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17818</v>
      </c>
      <c r="E91" s="38" cm="1">
        <f t="array" ref="E91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965</v>
      </c>
      <c r="F91" s="36" t="str" cm="1">
        <f t="array" ref="F91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Kuwait City</v>
      </c>
      <c r="G91" s="37" cm="1">
        <f t="array" ref="G91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134761198946</v>
      </c>
      <c r="H91" s="37" cm="1">
        <f t="array" ref="H91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4268873</v>
      </c>
      <c r="I91" s="39" cm="1">
        <f t="array" ref="I91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0.02</v>
      </c>
      <c r="J91" s="36">
        <f>IF(tblCountriesClean[[#This Row],[Data_Quality_Status]]="CHECK","",1+COUNTIFS(tblCountriesClean[GDP_USD],"&gt;"&amp;tblCountriesClean[[#This Row],[GDP_USD]],tblCountriesClean[Data_Quality_Status],"&lt;&gt;CHECK"))</f>
        <v>58</v>
      </c>
      <c r="K91" s="40">
        <f>IF(tblCountriesClean[[#This Row],[Data_Quality_Status]]="CHECK","",IFERROR(tblCountriesClean[[#This Row],[GDP_USD]]/tblCountriesClean[[#This Row],[Population]],""))</f>
        <v>31568.33172268184</v>
      </c>
      <c r="L91" s="40">
        <f>IF(tblCountriesClean[[#This Row],[Data_Quality_Status]]="CHECK","",IFERROR(tblCountriesClean[[#This Row],[Population]]/tblCountriesClean[[#This Row],[Area_km2]],""))</f>
        <v>239.58205185767201</v>
      </c>
      <c r="M91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92" spans="1:13">
      <c r="A92" s="31">
        <v>91</v>
      </c>
      <c r="B92" s="32" t="str">
        <f>_xlfn.XLOOKUP(tblCountriesClean[[#This Row],[Record_ID]],tblCountriesRaw[index],tblCountriesRaw[country],"Check")</f>
        <v>Kyrgyzstan</v>
      </c>
      <c r="C92" s="36" t="str" cm="1">
        <f t="array" ref="C92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KG</v>
      </c>
      <c r="D92" s="37" cm="1">
        <f t="array" ref="D92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199951</v>
      </c>
      <c r="E92" s="38" cm="1">
        <f t="array" ref="E92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996</v>
      </c>
      <c r="F92" s="36" t="str" cm="1">
        <f t="array" ref="F92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Bishkek</v>
      </c>
      <c r="G92" s="37" cm="1">
        <f t="array" ref="G92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8454619608</v>
      </c>
      <c r="H92" s="37" cm="1">
        <f t="array" ref="H92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6803300</v>
      </c>
      <c r="I92" s="39" cm="1">
        <f t="array" ref="I92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0.06</v>
      </c>
      <c r="J92" s="36">
        <f>IF(tblCountriesClean[[#This Row],[Data_Quality_Status]]="CHECK","",1+COUNTIFS(tblCountriesClean[GDP_USD],"&gt;"&amp;tblCountriesClean[[#This Row],[GDP_USD]],tblCountriesClean[Data_Quality_Status],"&lt;&gt;CHECK"))</f>
        <v>145</v>
      </c>
      <c r="K92" s="40">
        <f>IF(tblCountriesClean[[#This Row],[Data_Quality_Status]]="CHECK","",IFERROR(tblCountriesClean[[#This Row],[GDP_USD]]/tblCountriesClean[[#This Row],[Population]],""))</f>
        <v>1242.7233266209046</v>
      </c>
      <c r="L92" s="40">
        <f>IF(tblCountriesClean[[#This Row],[Data_Quality_Status]]="CHECK","",IFERROR(tblCountriesClean[[#This Row],[Population]]/tblCountriesClean[[#This Row],[Area_km2]],""))</f>
        <v>34.024836084840786</v>
      </c>
      <c r="M92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93" spans="1:13">
      <c r="A93" s="31">
        <v>92</v>
      </c>
      <c r="B93" s="32" t="str">
        <f>_xlfn.XLOOKUP(tblCountriesClean[[#This Row],[Record_ID]],tblCountriesRaw[index],tblCountriesRaw[country],"Check")</f>
        <v>Laos</v>
      </c>
      <c r="C93" s="36" t="str" cm="1">
        <f t="array" ref="C93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LA</v>
      </c>
      <c r="D93" s="37" cm="1">
        <f t="array" ref="D93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236800</v>
      </c>
      <c r="E93" s="38" cm="1">
        <f t="array" ref="E93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856</v>
      </c>
      <c r="F93" s="36" t="str" cm="1">
        <f t="array" ref="F93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Vientiane</v>
      </c>
      <c r="G93" s="37" cm="1">
        <f t="array" ref="G93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18173839128</v>
      </c>
      <c r="H93" s="37" cm="1">
        <f t="array" ref="H93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7529475</v>
      </c>
      <c r="I93" s="39" cm="1">
        <f t="array" ref="I93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0.01</v>
      </c>
      <c r="J93" s="36">
        <f>IF(tblCountriesClean[[#This Row],[Data_Quality_Status]]="CHECK","",1+COUNTIFS(tblCountriesClean[GDP_USD],"&gt;"&amp;tblCountriesClean[[#This Row],[GDP_USD]],tblCountriesClean[Data_Quality_Status],"&lt;&gt;CHECK"))</f>
        <v>117</v>
      </c>
      <c r="K93" s="40">
        <f>IF(tblCountriesClean[[#This Row],[Data_Quality_Status]]="CHECK","",IFERROR(tblCountriesClean[[#This Row],[GDP_USD]]/tblCountriesClean[[#This Row],[Population]],""))</f>
        <v>2413.6927379398962</v>
      </c>
      <c r="L93" s="40">
        <f>IF(tblCountriesClean[[#This Row],[Data_Quality_Status]]="CHECK","",IFERROR(tblCountriesClean[[#This Row],[Population]]/tblCountriesClean[[#This Row],[Area_km2]],""))</f>
        <v>31.796769425675677</v>
      </c>
      <c r="M93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94" spans="1:13">
      <c r="A94" s="31">
        <v>93</v>
      </c>
      <c r="B94" s="32" t="str">
        <f>_xlfn.XLOOKUP(tblCountriesClean[[#This Row],[Record_ID]],tblCountriesRaw[index],tblCountriesRaw[country],"Check")</f>
        <v>Latvia</v>
      </c>
      <c r="C94" s="36" t="str" cm="1">
        <f t="array" ref="C94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LV</v>
      </c>
      <c r="D94" s="37" cm="1">
        <f t="array" ref="D94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64594</v>
      </c>
      <c r="E94" s="38" cm="1">
        <f t="array" ref="E94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371</v>
      </c>
      <c r="F94" s="36" t="str" cm="1">
        <f t="array" ref="F94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Riga</v>
      </c>
      <c r="G94" s="37" cm="1">
        <f t="array" ref="G94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34117202555</v>
      </c>
      <c r="H94" s="37" cm="1">
        <f t="array" ref="H94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1883379</v>
      </c>
      <c r="I94" s="39" cm="1">
        <f t="array" ref="I94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7.0000000000000007E-2</v>
      </c>
      <c r="J94" s="36">
        <f>IF(tblCountriesClean[[#This Row],[Data_Quality_Status]]="CHECK","",1+COUNTIFS(tblCountriesClean[GDP_USD],"&gt;"&amp;tblCountriesClean[[#This Row],[GDP_USD]],tblCountriesClean[Data_Quality_Status],"&lt;&gt;CHECK"))</f>
        <v>98</v>
      </c>
      <c r="K94" s="40">
        <f>IF(tblCountriesClean[[#This Row],[Data_Quality_Status]]="CHECK","",IFERROR(tblCountriesClean[[#This Row],[GDP_USD]]/tblCountriesClean[[#This Row],[Population]],""))</f>
        <v>18114.889544271227</v>
      </c>
      <c r="L94" s="40">
        <f>IF(tblCountriesClean[[#This Row],[Data_Quality_Status]]="CHECK","",IFERROR(tblCountriesClean[[#This Row],[Population]]/tblCountriesClean[[#This Row],[Area_km2]],""))</f>
        <v>29.157181781589621</v>
      </c>
      <c r="M94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95" spans="1:13">
      <c r="A95" s="31">
        <v>94</v>
      </c>
      <c r="B95" s="32" t="str">
        <f>_xlfn.XLOOKUP(tblCountriesClean[[#This Row],[Record_ID]],tblCountriesRaw[index],tblCountriesRaw[country],"Check")</f>
        <v>Lebanon</v>
      </c>
      <c r="C95" s="36" t="str" cm="1">
        <f t="array" ref="C95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LB</v>
      </c>
      <c r="D95" s="37" cm="1">
        <f t="array" ref="D95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10452</v>
      </c>
      <c r="E95" s="38" cm="1">
        <f t="array" ref="E95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961</v>
      </c>
      <c r="F95" s="36" t="str" cm="1">
        <f t="array" ref="F95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Beirut</v>
      </c>
      <c r="G95" s="37" cm="1">
        <f t="array" ref="G95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53367042272</v>
      </c>
      <c r="H95" s="37" cm="1">
        <f t="array" ref="H95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5489739</v>
      </c>
      <c r="I95" s="39" cm="1">
        <f t="array" ref="I95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0.06</v>
      </c>
      <c r="J95" s="36">
        <f>IF(tblCountriesClean[[#This Row],[Data_Quality_Status]]="CHECK","",1+COUNTIFS(tblCountriesClean[GDP_USD],"&gt;"&amp;tblCountriesClean[[#This Row],[GDP_USD]],tblCountriesClean[Data_Quality_Status],"&lt;&gt;CHECK"))</f>
        <v>84</v>
      </c>
      <c r="K95" s="40">
        <f>IF(tblCountriesClean[[#This Row],[Data_Quality_Status]]="CHECK","",IFERROR(tblCountriesClean[[#This Row],[GDP_USD]]/tblCountriesClean[[#This Row],[Population]],""))</f>
        <v>9721.2348842085212</v>
      </c>
      <c r="L95" s="40">
        <f>IF(tblCountriesClean[[#This Row],[Data_Quality_Status]]="CHECK","",IFERROR(tblCountriesClean[[#This Row],[Population]]/tblCountriesClean[[#This Row],[Area_km2]],""))</f>
        <v>525.23335246842714</v>
      </c>
      <c r="M95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96" spans="1:13">
      <c r="A96" s="31">
        <v>95</v>
      </c>
      <c r="B96" s="32" t="str">
        <f>_xlfn.XLOOKUP(tblCountriesClean[[#This Row],[Record_ID]],tblCountriesRaw[index],tblCountriesRaw[country],"Check")</f>
        <v>Lesotho</v>
      </c>
      <c r="C96" s="36" t="str" cm="1">
        <f t="array" ref="C96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LS</v>
      </c>
      <c r="D96" s="37" cm="1">
        <f t="array" ref="D96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30355</v>
      </c>
      <c r="E96" s="38" cm="1">
        <f t="array" ref="E96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266</v>
      </c>
      <c r="F96" s="36" t="str" cm="1">
        <f t="array" ref="F96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Maseru</v>
      </c>
      <c r="G96" s="37" cm="1">
        <f t="array" ref="G96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2460072444</v>
      </c>
      <c r="H96" s="37" cm="1">
        <f t="array" ref="H96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2305825</v>
      </c>
      <c r="I96" s="39" cm="1">
        <f t="array" ref="I96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0.23</v>
      </c>
      <c r="J96" s="36">
        <f>IF(tblCountriesClean[[#This Row],[Data_Quality_Status]]="CHECK","",1+COUNTIFS(tblCountriesClean[GDP_USD],"&gt;"&amp;tblCountriesClean[[#This Row],[GDP_USD]],tblCountriesClean[Data_Quality_Status],"&lt;&gt;CHECK"))</f>
        <v>165</v>
      </c>
      <c r="K96" s="40">
        <f>IF(tblCountriesClean[[#This Row],[Data_Quality_Status]]="CHECK","",IFERROR(tblCountriesClean[[#This Row],[GDP_USD]]/tblCountriesClean[[#This Row],[Population]],""))</f>
        <v>1066.8946880183883</v>
      </c>
      <c r="L96" s="40">
        <f>IF(tblCountriesClean[[#This Row],[Data_Quality_Status]]="CHECK","",IFERROR(tblCountriesClean[[#This Row],[Population]]/tblCountriesClean[[#This Row],[Area_km2]],""))</f>
        <v>75.961950255312146</v>
      </c>
      <c r="M96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97" spans="1:13">
      <c r="A97" s="31">
        <v>96</v>
      </c>
      <c r="B97" s="32" t="str">
        <f>_xlfn.XLOOKUP(tblCountriesClean[[#This Row],[Record_ID]],tblCountriesRaw[index],tblCountriesRaw[country],"Check")</f>
        <v>Liberia</v>
      </c>
      <c r="C97" s="36" t="str" cm="1">
        <f t="array" ref="C97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LR</v>
      </c>
      <c r="D97" s="37" cm="1">
        <f t="array" ref="D97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111369</v>
      </c>
      <c r="E97" s="38" cm="1">
        <f t="array" ref="E97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231</v>
      </c>
      <c r="F97" s="36" t="str" cm="1">
        <f t="array" ref="F97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Monrovia</v>
      </c>
      <c r="G97" s="37" cm="1">
        <f t="array" ref="G97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3070518100</v>
      </c>
      <c r="H97" s="37" cm="1">
        <f t="array" ref="H97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5302681</v>
      </c>
      <c r="I97" s="39" cm="1">
        <f t="array" ref="I97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0.03</v>
      </c>
      <c r="J97" s="36">
        <f>IF(tblCountriesClean[[#This Row],[Data_Quality_Status]]="CHECK","",1+COUNTIFS(tblCountriesClean[GDP_USD],"&gt;"&amp;tblCountriesClean[[#This Row],[GDP_USD]],tblCountriesClean[Data_Quality_Status],"&lt;&gt;CHECK"))</f>
        <v>163</v>
      </c>
      <c r="K97" s="40">
        <f>IF(tblCountriesClean[[#This Row],[Data_Quality_Status]]="CHECK","",IFERROR(tblCountriesClean[[#This Row],[GDP_USD]]/tblCountriesClean[[#This Row],[Population]],""))</f>
        <v>579.05012577599894</v>
      </c>
      <c r="L97" s="40">
        <f>IF(tblCountriesClean[[#This Row],[Data_Quality_Status]]="CHECK","",IFERROR(tblCountriesClean[[#This Row],[Population]]/tblCountriesClean[[#This Row],[Area_km2]],""))</f>
        <v>47.613617793102208</v>
      </c>
      <c r="M97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98" spans="1:13">
      <c r="A98" s="31">
        <v>97</v>
      </c>
      <c r="B98" s="32" t="str">
        <f>_xlfn.XLOOKUP(tblCountriesClean[[#This Row],[Record_ID]],tblCountriesRaw[index],tblCountriesRaw[country],"Check")</f>
        <v>Libya</v>
      </c>
      <c r="C98" s="36" t="str" cm="1">
        <f t="array" ref="C98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LY</v>
      </c>
      <c r="D98" s="37" cm="1">
        <f t="array" ref="D98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1759541</v>
      </c>
      <c r="E98" s="38" cm="1">
        <f t="array" ref="E98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218</v>
      </c>
      <c r="F98" s="36" t="str" cm="1">
        <f t="array" ref="F98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Tripoli, Libya</v>
      </c>
      <c r="G98" s="37" cm="1">
        <f t="array" ref="G98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52076250948</v>
      </c>
      <c r="H98" s="37" cm="1">
        <f t="array" ref="H98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6812341</v>
      </c>
      <c r="I98" s="39" cm="1">
        <f t="array" ref="I98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0.19</v>
      </c>
      <c r="J98" s="36">
        <f>IF(tblCountriesClean[[#This Row],[Data_Quality_Status]]="CHECK","",1+COUNTIFS(tblCountriesClean[GDP_USD],"&gt;"&amp;tblCountriesClean[[#This Row],[GDP_USD]],tblCountriesClean[Data_Quality_Status],"&lt;&gt;CHECK"))</f>
        <v>85</v>
      </c>
      <c r="K98" s="40">
        <f>IF(tblCountriesClean[[#This Row],[Data_Quality_Status]]="CHECK","",IFERROR(tblCountriesClean[[#This Row],[GDP_USD]]/tblCountriesClean[[#This Row],[Population]],""))</f>
        <v>7644.3987387008374</v>
      </c>
      <c r="L98" s="40">
        <f>IF(tblCountriesClean[[#This Row],[Data_Quality_Status]]="CHECK","",IFERROR(tblCountriesClean[[#This Row],[Population]]/tblCountriesClean[[#This Row],[Area_km2]],""))</f>
        <v>3.8716580062641337</v>
      </c>
      <c r="M98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99" spans="1:13">
      <c r="A99" s="31">
        <v>98</v>
      </c>
      <c r="B99" s="32" t="str">
        <f>_xlfn.XLOOKUP(tblCountriesClean[[#This Row],[Record_ID]],tblCountriesRaw[index],tblCountriesRaw[country],"Check")</f>
        <v>Liechtenstein</v>
      </c>
      <c r="C99" s="36" t="str" cm="1">
        <f t="array" ref="C99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LI</v>
      </c>
      <c r="D99" s="37" cm="1">
        <f t="array" ref="D99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160</v>
      </c>
      <c r="E99" s="38" cm="1">
        <f t="array" ref="E99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423</v>
      </c>
      <c r="F99" s="36" t="str" cm="1">
        <f t="array" ref="F99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Vaduz</v>
      </c>
      <c r="G99" s="37" cm="1">
        <f t="array" ref="G99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6552858739</v>
      </c>
      <c r="H99" s="37" cm="1">
        <f t="array" ref="H99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39327</v>
      </c>
      <c r="I99" s="39" cm="1">
        <f t="array" ref="I99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0.02</v>
      </c>
      <c r="J99" s="36">
        <f>IF(tblCountriesClean[[#This Row],[Data_Quality_Status]]="CHECK","",1+COUNTIFS(tblCountriesClean[GDP_USD],"&gt;"&amp;tblCountriesClean[[#This Row],[GDP_USD]],tblCountriesClean[Data_Quality_Status],"&lt;&gt;CHECK"))</f>
        <v>150</v>
      </c>
      <c r="K99" s="40">
        <f>IF(tblCountriesClean[[#This Row],[Data_Quality_Status]]="CHECK","",IFERROR(tblCountriesClean[[#This Row],[GDP_USD]]/tblCountriesClean[[#This Row],[Population]],""))</f>
        <v>166624.93297225825</v>
      </c>
      <c r="L99" s="40">
        <f>IF(tblCountriesClean[[#This Row],[Data_Quality_Status]]="CHECK","",IFERROR(tblCountriesClean[[#This Row],[Population]]/tblCountriesClean[[#This Row],[Area_km2]],""))</f>
        <v>245.79374999999999</v>
      </c>
      <c r="M99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00" spans="1:13">
      <c r="A100" s="31">
        <v>99</v>
      </c>
      <c r="B100" s="32" t="str">
        <f>_xlfn.XLOOKUP(tblCountriesClean[[#This Row],[Record_ID]],tblCountriesRaw[index],tblCountriesRaw[country],"Check")</f>
        <v>Lithuania</v>
      </c>
      <c r="C100" s="36" t="str" cm="1">
        <f t="array" ref="C100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LT</v>
      </c>
      <c r="D100" s="37" cm="1">
        <f t="array" ref="D100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65300</v>
      </c>
      <c r="E100" s="38" cm="1">
        <f t="array" ref="E100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370</v>
      </c>
      <c r="F100" s="36" t="str" cm="1">
        <f t="array" ref="F100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Vilnius</v>
      </c>
      <c r="G100" s="37" cm="1">
        <f t="array" ref="G100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54219315600</v>
      </c>
      <c r="H100" s="37" cm="1">
        <f t="array" ref="H100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2833000</v>
      </c>
      <c r="I100" s="39" cm="1">
        <f t="array" ref="I100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0.06</v>
      </c>
      <c r="J100" s="36">
        <f>IF(tblCountriesClean[[#This Row],[Data_Quality_Status]]="CHECK","",1+COUNTIFS(tblCountriesClean[GDP_USD],"&gt;"&amp;tblCountriesClean[[#This Row],[GDP_USD]],tblCountriesClean[Data_Quality_Status],"&lt;&gt;CHECK"))</f>
        <v>82</v>
      </c>
      <c r="K100" s="40">
        <f>IF(tblCountriesClean[[#This Row],[Data_Quality_Status]]="CHECK","",IFERROR(tblCountriesClean[[#This Row],[GDP_USD]]/tblCountriesClean[[#This Row],[Population]],""))</f>
        <v>19138.48062124956</v>
      </c>
      <c r="L100" s="40">
        <f>IF(tblCountriesClean[[#This Row],[Data_Quality_Status]]="CHECK","",IFERROR(tblCountriesClean[[#This Row],[Population]]/tblCountriesClean[[#This Row],[Area_km2]],""))</f>
        <v>43.384379785604899</v>
      </c>
      <c r="M100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01" spans="1:13">
      <c r="A101" s="31">
        <v>100</v>
      </c>
      <c r="B101" s="32" t="str">
        <f>_xlfn.XLOOKUP(tblCountriesClean[[#This Row],[Record_ID]],tblCountriesRaw[index],tblCountriesRaw[country],"Check")</f>
        <v>Luxembourg</v>
      </c>
      <c r="C101" s="36" t="str" cm="1">
        <f t="array" ref="C101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LU</v>
      </c>
      <c r="D101" s="37" cm="1">
        <f t="array" ref="D101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2586</v>
      </c>
      <c r="E101" s="38" cm="1">
        <f t="array" ref="E101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352</v>
      </c>
      <c r="F101" s="36" t="str" cm="1">
        <f t="array" ref="F101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Luxembourg City</v>
      </c>
      <c r="G101" s="37" cm="1">
        <f t="array" ref="G101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71104919108</v>
      </c>
      <c r="H101" s="37" cm="1">
        <f t="array" ref="H101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650774</v>
      </c>
      <c r="I101" s="39" cm="1">
        <f t="array" ref="I101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0.05</v>
      </c>
      <c r="J101" s="36">
        <f>IF(tblCountriesClean[[#This Row],[Data_Quality_Status]]="CHECK","",1+COUNTIFS(tblCountriesClean[GDP_USD],"&gt;"&amp;tblCountriesClean[[#This Row],[GDP_USD]],tblCountriesClean[Data_Quality_Status],"&lt;&gt;CHECK"))</f>
        <v>72</v>
      </c>
      <c r="K101" s="40">
        <f>IF(tblCountriesClean[[#This Row],[Data_Quality_Status]]="CHECK","",IFERROR(tblCountriesClean[[#This Row],[GDP_USD]]/tblCountriesClean[[#This Row],[Population]],""))</f>
        <v>109262.0773233104</v>
      </c>
      <c r="L101" s="40">
        <f>IF(tblCountriesClean[[#This Row],[Data_Quality_Status]]="CHECK","",IFERROR(tblCountriesClean[[#This Row],[Population]]/tblCountriesClean[[#This Row],[Area_km2]],""))</f>
        <v>251.65274555297756</v>
      </c>
      <c r="M101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02" spans="1:13">
      <c r="A102" s="31">
        <v>101</v>
      </c>
      <c r="B102" s="32" t="str">
        <f>_xlfn.XLOOKUP(tblCountriesClean[[#This Row],[Record_ID]],tblCountriesRaw[index],tblCountriesRaw[country],"Check")</f>
        <v>Madagascar</v>
      </c>
      <c r="C102" s="36" t="str" cm="1">
        <f t="array" ref="C102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MG</v>
      </c>
      <c r="D102" s="37" cm="1">
        <f t="array" ref="D102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587295</v>
      </c>
      <c r="E102" s="38" cm="1">
        <f t="array" ref="E102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261</v>
      </c>
      <c r="F102" s="36" t="str" cm="1">
        <f t="array" ref="F102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Antananarivo</v>
      </c>
      <c r="G102" s="37" cm="1">
        <f t="array" ref="G102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14083906357</v>
      </c>
      <c r="H102" s="37" cm="1">
        <f t="array" ref="H102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29611714</v>
      </c>
      <c r="I102" s="39" cm="1">
        <f t="array" ref="I102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0.02</v>
      </c>
      <c r="J102" s="36">
        <f>IF(tblCountriesClean[[#This Row],[Data_Quality_Status]]="CHECK","",1+COUNTIFS(tblCountriesClean[GDP_USD],"&gt;"&amp;tblCountriesClean[[#This Row],[GDP_USD]],tblCountriesClean[Data_Quality_Status],"&lt;&gt;CHECK"))</f>
        <v>128</v>
      </c>
      <c r="K102" s="40">
        <f>IF(tblCountriesClean[[#This Row],[Data_Quality_Status]]="CHECK","",IFERROR(tblCountriesClean[[#This Row],[GDP_USD]]/tblCountriesClean[[#This Row],[Population]],""))</f>
        <v>475.61942402253379</v>
      </c>
      <c r="L102" s="40">
        <f>IF(tblCountriesClean[[#This Row],[Data_Quality_Status]]="CHECK","",IFERROR(tblCountriesClean[[#This Row],[Population]]/tblCountriesClean[[#This Row],[Area_km2]],""))</f>
        <v>50.420510986812417</v>
      </c>
      <c r="M102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03" spans="1:13">
      <c r="A103" s="31">
        <v>102</v>
      </c>
      <c r="B103" s="32" t="str">
        <f>_xlfn.XLOOKUP(tblCountriesClean[[#This Row],[Record_ID]],tblCountriesRaw[index],tblCountriesRaw[country],"Check")</f>
        <v>Malawi</v>
      </c>
      <c r="C103" s="36" t="str" cm="1">
        <f t="array" ref="C103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MW</v>
      </c>
      <c r="D103" s="37" cm="1">
        <f t="array" ref="D103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118484</v>
      </c>
      <c r="E103" s="38" cm="1">
        <f t="array" ref="E103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265</v>
      </c>
      <c r="F103" s="36" t="str" cm="1">
        <f t="array" ref="F103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Lilongwe</v>
      </c>
      <c r="G103" s="37" cm="1">
        <f t="array" ref="G103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7666704427</v>
      </c>
      <c r="H103" s="37" cm="1">
        <f t="array" ref="H103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20405317</v>
      </c>
      <c r="I103" s="39" cm="1">
        <f t="array" ref="I103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0.06</v>
      </c>
      <c r="J103" s="36">
        <f>IF(tblCountriesClean[[#This Row],[Data_Quality_Status]]="CHECK","",1+COUNTIFS(tblCountriesClean[GDP_USD],"&gt;"&amp;tblCountriesClean[[#This Row],[GDP_USD]],tblCountriesClean[Data_Quality_Status],"&lt;&gt;CHECK"))</f>
        <v>147</v>
      </c>
      <c r="K103" s="40">
        <f>IF(tblCountriesClean[[#This Row],[Data_Quality_Status]]="CHECK","",IFERROR(tblCountriesClean[[#This Row],[GDP_USD]]/tblCountriesClean[[#This Row],[Population]],""))</f>
        <v>375.72091759221382</v>
      </c>
      <c r="L103" s="40">
        <f>IF(tblCountriesClean[[#This Row],[Data_Quality_Status]]="CHECK","",IFERROR(tblCountriesClean[[#This Row],[Population]]/tblCountriesClean[[#This Row],[Area_km2]],""))</f>
        <v>172.2200212686945</v>
      </c>
      <c r="M103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04" spans="1:13">
      <c r="A104" s="31">
        <v>103</v>
      </c>
      <c r="B104" s="32" t="str">
        <f>_xlfn.XLOOKUP(tblCountriesClean[[#This Row],[Record_ID]],tblCountriesRaw[index],tblCountriesRaw[country],"Check")</f>
        <v>Malaysia</v>
      </c>
      <c r="C104" s="36" t="str" cm="1">
        <f t="array" ref="C104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MY</v>
      </c>
      <c r="D104" s="37" cm="1">
        <f t="array" ref="D104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330803</v>
      </c>
      <c r="E104" s="38" cm="1">
        <f t="array" ref="E104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60</v>
      </c>
      <c r="F104" s="36" t="str" cm="1">
        <f t="array" ref="F104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Kuala Lumpur</v>
      </c>
      <c r="G104" s="37" cm="1">
        <f t="array" ref="G104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364701517788</v>
      </c>
      <c r="H104" s="37" cm="1">
        <f t="array" ref="H104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33938221</v>
      </c>
      <c r="I104" s="39" cm="1">
        <f t="array" ref="I104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0.03</v>
      </c>
      <c r="J104" s="36">
        <f>IF(tblCountriesClean[[#This Row],[Data_Quality_Status]]="CHECK","",1+COUNTIFS(tblCountriesClean[GDP_USD],"&gt;"&amp;tblCountriesClean[[#This Row],[GDP_USD]],tblCountriesClean[Data_Quality_Status],"&lt;&gt;CHECK"))</f>
        <v>36</v>
      </c>
      <c r="K104" s="40">
        <f>IF(tblCountriesClean[[#This Row],[Data_Quality_Status]]="CHECK","",IFERROR(tblCountriesClean[[#This Row],[GDP_USD]]/tblCountriesClean[[#This Row],[Population]],""))</f>
        <v>10746.041101800827</v>
      </c>
      <c r="L104" s="40">
        <f>IF(tblCountriesClean[[#This Row],[Data_Quality_Status]]="CHECK","",IFERROR(tblCountriesClean[[#This Row],[Population]]/tblCountriesClean[[#This Row],[Area_km2]],""))</f>
        <v>102.59344987802407</v>
      </c>
      <c r="M104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05" spans="1:13">
      <c r="A105" s="31">
        <v>104</v>
      </c>
      <c r="B105" s="32" t="str">
        <f>_xlfn.XLOOKUP(tblCountriesClean[[#This Row],[Record_ID]],tblCountriesRaw[index],tblCountriesRaw[country],"Check")</f>
        <v>Maldives</v>
      </c>
      <c r="C105" s="36" t="str" cm="1">
        <f t="array" ref="C105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MV</v>
      </c>
      <c r="D105" s="37" cm="1">
        <f t="array" ref="D105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298</v>
      </c>
      <c r="E105" s="38" cm="1">
        <f t="array" ref="E105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960</v>
      </c>
      <c r="F105" s="36" t="str" cm="1">
        <f t="array" ref="F105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Malé</v>
      </c>
      <c r="G105" s="37" cm="1">
        <f t="array" ref="G105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5729248472</v>
      </c>
      <c r="H105" s="37" cm="1">
        <f t="array" ref="H105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523787</v>
      </c>
      <c r="I105" s="39" cm="1">
        <f t="array" ref="I105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0.06</v>
      </c>
      <c r="J105" s="36">
        <f>IF(tblCountriesClean[[#This Row],[Data_Quality_Status]]="CHECK","",1+COUNTIFS(tblCountriesClean[GDP_USD],"&gt;"&amp;tblCountriesClean[[#This Row],[GDP_USD]],tblCountriesClean[Data_Quality_Status],"&lt;&gt;CHECK"))</f>
        <v>151</v>
      </c>
      <c r="K105" s="40">
        <f>IF(tblCountriesClean[[#This Row],[Data_Quality_Status]]="CHECK","",IFERROR(tblCountriesClean[[#This Row],[GDP_USD]]/tblCountriesClean[[#This Row],[Population]],""))</f>
        <v>10938.126513258252</v>
      </c>
      <c r="L105" s="40">
        <f>IF(tblCountriesClean[[#This Row],[Data_Quality_Status]]="CHECK","",IFERROR(tblCountriesClean[[#This Row],[Population]]/tblCountriesClean[[#This Row],[Area_km2]],""))</f>
        <v>1757.6744966442952</v>
      </c>
      <c r="M105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06" spans="1:13">
      <c r="A106" s="31">
        <v>105</v>
      </c>
      <c r="B106" s="32" t="str">
        <f>_xlfn.XLOOKUP(tblCountriesClean[[#This Row],[Record_ID]],tblCountriesRaw[index],tblCountriesRaw[country],"Check")</f>
        <v>Mali</v>
      </c>
      <c r="C106" s="36" t="str" cm="1">
        <f t="array" ref="C106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ML</v>
      </c>
      <c r="D106" s="37" cm="1">
        <f t="array" ref="D106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1240192</v>
      </c>
      <c r="E106" s="38" cm="1">
        <f t="array" ref="E106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223</v>
      </c>
      <c r="F106" s="36" t="str" cm="1">
        <f t="array" ref="F106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Bamako</v>
      </c>
      <c r="G106" s="37" cm="1">
        <f t="array" ref="G106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17510141171</v>
      </c>
      <c r="H106" s="37" cm="1">
        <f t="array" ref="H106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22593590</v>
      </c>
      <c r="I106" s="39" cm="1">
        <f t="array" ref="I106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7.0000000000000007E-2</v>
      </c>
      <c r="J106" s="36">
        <f>IF(tblCountriesClean[[#This Row],[Data_Quality_Status]]="CHECK","",1+COUNTIFS(tblCountriesClean[GDP_USD],"&gt;"&amp;tblCountriesClean[[#This Row],[GDP_USD]],tblCountriesClean[Data_Quality_Status],"&lt;&gt;CHECK"))</f>
        <v>119</v>
      </c>
      <c r="K106" s="40">
        <f>IF(tblCountriesClean[[#This Row],[Data_Quality_Status]]="CHECK","",IFERROR(tblCountriesClean[[#This Row],[GDP_USD]]/tblCountriesClean[[#This Row],[Population]],""))</f>
        <v>775.00482088061256</v>
      </c>
      <c r="L106" s="40">
        <f>IF(tblCountriesClean[[#This Row],[Data_Quality_Status]]="CHECK","",IFERROR(tblCountriesClean[[#This Row],[Population]]/tblCountriesClean[[#This Row],[Area_km2]],""))</f>
        <v>18.217816273609248</v>
      </c>
      <c r="M106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07" spans="1:13">
      <c r="A107" s="31">
        <v>106</v>
      </c>
      <c r="B107" s="32" t="str">
        <f>_xlfn.XLOOKUP(tblCountriesClean[[#This Row],[Record_ID]],tblCountriesRaw[index],tblCountriesRaw[country],"Check")</f>
        <v>Malta</v>
      </c>
      <c r="C107" s="36" t="str" cm="1">
        <f t="array" ref="C107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MT</v>
      </c>
      <c r="D107" s="37" cm="1">
        <f t="array" ref="D107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316</v>
      </c>
      <c r="E107" s="38" cm="1">
        <f t="array" ref="E107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356</v>
      </c>
      <c r="F107" s="36" t="str" cm="1">
        <f t="array" ref="F107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Valletta</v>
      </c>
      <c r="G107" s="37" cm="1">
        <f t="array" ref="G107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14786156563</v>
      </c>
      <c r="H107" s="37" cm="1">
        <f t="array" ref="H107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523417</v>
      </c>
      <c r="I107" s="39" cm="1">
        <f t="array" ref="I107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0.03</v>
      </c>
      <c r="J107" s="36">
        <f>IF(tblCountriesClean[[#This Row],[Data_Quality_Status]]="CHECK","",1+COUNTIFS(tblCountriesClean[GDP_USD],"&gt;"&amp;tblCountriesClean[[#This Row],[GDP_USD]],tblCountriesClean[Data_Quality_Status],"&lt;&gt;CHECK"))</f>
        <v>125</v>
      </c>
      <c r="K107" s="40">
        <f>IF(tblCountriesClean[[#This Row],[Data_Quality_Status]]="CHECK","",IFERROR(tblCountriesClean[[#This Row],[GDP_USD]]/tblCountriesClean[[#This Row],[Population]],""))</f>
        <v>28249.286062546689</v>
      </c>
      <c r="L107" s="40">
        <f>IF(tblCountriesClean[[#This Row],[Data_Quality_Status]]="CHECK","",IFERROR(tblCountriesClean[[#This Row],[Population]]/tblCountriesClean[[#This Row],[Area_km2]],""))</f>
        <v>1656.382911392405</v>
      </c>
      <c r="M107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08" spans="1:13">
      <c r="A108" s="31">
        <v>107</v>
      </c>
      <c r="B108" s="32" t="str">
        <f>_xlfn.XLOOKUP(tblCountriesClean[[#This Row],[Record_ID]],tblCountriesRaw[index],tblCountriesRaw[country],"Check")</f>
        <v>Marshall Islands</v>
      </c>
      <c r="C108" s="36" t="str" cm="1">
        <f t="array" ref="C108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MH</v>
      </c>
      <c r="D108" s="37" cm="1">
        <f t="array" ref="D108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181</v>
      </c>
      <c r="E108" s="38" cm="1">
        <f t="array" ref="E108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692</v>
      </c>
      <c r="F108" s="36" t="str" cm="1">
        <f t="array" ref="F108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Majuro</v>
      </c>
      <c r="G108" s="37" cm="1">
        <f t="array" ref="G108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221278000</v>
      </c>
      <c r="H108" s="37" cm="1">
        <f t="array" ref="H108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41569</v>
      </c>
      <c r="I108" s="39" cm="1">
        <f t="array" ref="I108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0.02</v>
      </c>
      <c r="J108" s="36">
        <f>IF(tblCountriesClean[[#This Row],[Data_Quality_Status]]="CHECK","",1+COUNTIFS(tblCountriesClean[GDP_USD],"&gt;"&amp;tblCountriesClean[[#This Row],[GDP_USD]],tblCountriesClean[Data_Quality_Status],"&lt;&gt;CHECK"))</f>
        <v>190</v>
      </c>
      <c r="K108" s="40">
        <f>IF(tblCountriesClean[[#This Row],[Data_Quality_Status]]="CHECK","",IFERROR(tblCountriesClean[[#This Row],[GDP_USD]]/tblCountriesClean[[#This Row],[Population]],""))</f>
        <v>5323.1494623397239</v>
      </c>
      <c r="L108" s="40">
        <f>IF(tblCountriesClean[[#This Row],[Data_Quality_Status]]="CHECK","",IFERROR(tblCountriesClean[[#This Row],[Population]]/tblCountriesClean[[#This Row],[Area_km2]],""))</f>
        <v>229.66298342541435</v>
      </c>
      <c r="M108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09" spans="1:13">
      <c r="A109" s="31">
        <v>108</v>
      </c>
      <c r="B109" s="32" t="str">
        <f>_xlfn.XLOOKUP(tblCountriesClean[[#This Row],[Record_ID]],tblCountriesRaw[index],tblCountriesRaw[country],"Check")</f>
        <v>Mauritania</v>
      </c>
      <c r="C109" s="36" t="str" cm="1">
        <f t="array" ref="C109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MR</v>
      </c>
      <c r="D109" s="37" cm="1">
        <f t="array" ref="D109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1030700</v>
      </c>
      <c r="E109" s="38" cm="1">
        <f t="array" ref="E109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222</v>
      </c>
      <c r="F109" s="36" t="str" cm="1">
        <f t="array" ref="F109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Nouakchott</v>
      </c>
      <c r="G109" s="37" cm="1">
        <f t="array" ref="G109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7593752450</v>
      </c>
      <c r="H109" s="37" cm="1">
        <f t="array" ref="H109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4736139</v>
      </c>
      <c r="I109" s="39" cm="1">
        <f t="array" ref="I109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</v>
      </c>
      <c r="J109" s="36">
        <f>IF(tblCountriesClean[[#This Row],[Data_Quality_Status]]="CHECK","",1+COUNTIFS(tblCountriesClean[GDP_USD],"&gt;"&amp;tblCountriesClean[[#This Row],[GDP_USD]],tblCountriesClean[Data_Quality_Status],"&lt;&gt;CHECK"))</f>
        <v>148</v>
      </c>
      <c r="K109" s="40">
        <f>IF(tblCountriesClean[[#This Row],[Data_Quality_Status]]="CHECK","",IFERROR(tblCountriesClean[[#This Row],[GDP_USD]]/tblCountriesClean[[#This Row],[Population]],""))</f>
        <v>1603.3635098125287</v>
      </c>
      <c r="L109" s="40">
        <f>IF(tblCountriesClean[[#This Row],[Data_Quality_Status]]="CHECK","",IFERROR(tblCountriesClean[[#This Row],[Population]]/tblCountriesClean[[#This Row],[Area_km2]],""))</f>
        <v>4.5950703405452602</v>
      </c>
      <c r="M109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10" spans="1:13">
      <c r="A110" s="31">
        <v>109</v>
      </c>
      <c r="B110" s="32" t="str">
        <f>_xlfn.XLOOKUP(tblCountriesClean[[#This Row],[Record_ID]],tblCountriesRaw[index],tblCountriesRaw[country],"Check")</f>
        <v>Mauritius</v>
      </c>
      <c r="C110" s="36" t="str" cm="1">
        <f t="array" ref="C110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MU</v>
      </c>
      <c r="D110" s="37" cm="1">
        <f t="array" ref="D110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2040</v>
      </c>
      <c r="E110" s="38" cm="1">
        <f t="array" ref="E110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230</v>
      </c>
      <c r="F110" s="36" t="str" cm="1">
        <f t="array" ref="F110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Port Louis</v>
      </c>
      <c r="G110" s="37" cm="1">
        <f t="array" ref="G110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14180444557</v>
      </c>
      <c r="H110" s="37" cm="1">
        <f t="array" ref="H110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1262523</v>
      </c>
      <c r="I110" s="39" cm="1">
        <f t="array" ref="I110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7.0000000000000007E-2</v>
      </c>
      <c r="J110" s="36">
        <f>IF(tblCountriesClean[[#This Row],[Data_Quality_Status]]="CHECK","",1+COUNTIFS(tblCountriesClean[GDP_USD],"&gt;"&amp;tblCountriesClean[[#This Row],[GDP_USD]],tblCountriesClean[Data_Quality_Status],"&lt;&gt;CHECK"))</f>
        <v>127</v>
      </c>
      <c r="K110" s="40">
        <f>IF(tblCountriesClean[[#This Row],[Data_Quality_Status]]="CHECK","",IFERROR(tblCountriesClean[[#This Row],[GDP_USD]]/tblCountriesClean[[#This Row],[Population]],""))</f>
        <v>11231.830673183777</v>
      </c>
      <c r="L110" s="40">
        <f>IF(tblCountriesClean[[#This Row],[Data_Quality_Status]]="CHECK","",IFERROR(tblCountriesClean[[#This Row],[Population]]/tblCountriesClean[[#This Row],[Area_km2]],""))</f>
        <v>618.88382352941176</v>
      </c>
      <c r="M110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11" spans="1:13">
      <c r="A111" s="31">
        <v>110</v>
      </c>
      <c r="B111" s="32" t="str">
        <f>_xlfn.XLOOKUP(tblCountriesClean[[#This Row],[Record_ID]],tblCountriesRaw[index],tblCountriesRaw[country],"Check")</f>
        <v>Mexico</v>
      </c>
      <c r="C111" s="36" t="str" cm="1">
        <f t="array" ref="C111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MX</v>
      </c>
      <c r="D111" s="37" cm="1">
        <f t="array" ref="D111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1972550</v>
      </c>
      <c r="E111" s="38" cm="1">
        <f t="array" ref="E111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52</v>
      </c>
      <c r="F111" s="36" t="str" cm="1">
        <f t="array" ref="F111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Mexico City</v>
      </c>
      <c r="G111" s="37" cm="1">
        <f t="array" ref="G111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1258286717125</v>
      </c>
      <c r="H111" s="37" cm="1">
        <f t="array" ref="H111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127504125</v>
      </c>
      <c r="I111" s="39" cm="1">
        <f t="array" ref="I111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0.03</v>
      </c>
      <c r="J111" s="36">
        <f>IF(tblCountriesClean[[#This Row],[Data_Quality_Status]]="CHECK","",1+COUNTIFS(tblCountriesClean[GDP_USD],"&gt;"&amp;tblCountriesClean[[#This Row],[GDP_USD]],tblCountriesClean[Data_Quality_Status],"&lt;&gt;CHECK"))</f>
        <v>15</v>
      </c>
      <c r="K111" s="40">
        <f>IF(tblCountriesClean[[#This Row],[Data_Quality_Status]]="CHECK","",IFERROR(tblCountriesClean[[#This Row],[GDP_USD]]/tblCountriesClean[[#This Row],[Population]],""))</f>
        <v>9868.5961503206272</v>
      </c>
      <c r="L111" s="40">
        <f>IF(tblCountriesClean[[#This Row],[Data_Quality_Status]]="CHECK","",IFERROR(tblCountriesClean[[#This Row],[Population]]/tblCountriesClean[[#This Row],[Area_km2]],""))</f>
        <v>64.639236014296216</v>
      </c>
      <c r="M111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12" spans="1:13" ht="31.2">
      <c r="A112" s="31">
        <v>111</v>
      </c>
      <c r="B112" s="32" t="str">
        <f>_xlfn.XLOOKUP(tblCountriesClean[[#This Row],[Record_ID]],tblCountriesRaw[index],tblCountriesRaw[country],"Check")</f>
        <v>Federated States of Micronesia</v>
      </c>
      <c r="C112" s="36" t="str" cm="1">
        <f t="array" ref="C112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FM</v>
      </c>
      <c r="D112" s="37" cm="1">
        <f t="array" ref="D112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702</v>
      </c>
      <c r="E112" s="38" cm="1">
        <f t="array" ref="E112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691</v>
      </c>
      <c r="F112" s="36" t="str" cm="1">
        <f t="array" ref="F112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Palikir</v>
      </c>
      <c r="G112" s="37" cm="1">
        <f t="array" ref="G112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401932279</v>
      </c>
      <c r="H112" s="37" cm="1">
        <f t="array" ref="H112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114164</v>
      </c>
      <c r="I112" s="39" cm="1">
        <f t="array" ref="I112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0.02</v>
      </c>
      <c r="J112" s="36">
        <f>IF(tblCountriesClean[[#This Row],[Data_Quality_Status]]="CHECK","",1+COUNTIFS(tblCountriesClean[GDP_USD],"&gt;"&amp;tblCountriesClean[[#This Row],[GDP_USD]],tblCountriesClean[Data_Quality_Status],"&lt;&gt;CHECK"))</f>
        <v>188</v>
      </c>
      <c r="K112" s="40">
        <f>IF(tblCountriesClean[[#This Row],[Data_Quality_Status]]="CHECK","",IFERROR(tblCountriesClean[[#This Row],[GDP_USD]]/tblCountriesClean[[#This Row],[Population]],""))</f>
        <v>3520.65694089205</v>
      </c>
      <c r="L112" s="40">
        <f>IF(tblCountriesClean[[#This Row],[Data_Quality_Status]]="CHECK","",IFERROR(tblCountriesClean[[#This Row],[Population]]/tblCountriesClean[[#This Row],[Area_km2]],""))</f>
        <v>162.62678062678063</v>
      </c>
      <c r="M112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13" spans="1:13">
      <c r="A113" s="31">
        <v>112</v>
      </c>
      <c r="B113" s="32" t="str">
        <f>_xlfn.XLOOKUP(tblCountriesClean[[#This Row],[Record_ID]],tblCountriesRaw[index],tblCountriesRaw[country],"Check")</f>
        <v>Moldova</v>
      </c>
      <c r="C113" s="36" t="str" cm="1">
        <f t="array" ref="C113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MD</v>
      </c>
      <c r="D113" s="37" cm="1">
        <f t="array" ref="D113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33844</v>
      </c>
      <c r="E113" s="38" cm="1">
        <f t="array" ref="E113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373</v>
      </c>
      <c r="F113" s="36" t="str" cm="1">
        <f t="array" ref="F113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Chișinău</v>
      </c>
      <c r="G113" s="37" cm="1">
        <f t="array" ref="G113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11955435457</v>
      </c>
      <c r="H113" s="37" cm="1">
        <f t="array" ref="H113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2592477</v>
      </c>
      <c r="I113" s="39" cm="1">
        <f t="array" ref="I113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0.05</v>
      </c>
      <c r="J113" s="36">
        <f>IF(tblCountriesClean[[#This Row],[Data_Quality_Status]]="CHECK","",1+COUNTIFS(tblCountriesClean[GDP_USD],"&gt;"&amp;tblCountriesClean[[#This Row],[GDP_USD]],tblCountriesClean[Data_Quality_Status],"&lt;&gt;CHECK"))</f>
        <v>138</v>
      </c>
      <c r="K113" s="40">
        <f>IF(tblCountriesClean[[#This Row],[Data_Quality_Status]]="CHECK","",IFERROR(tblCountriesClean[[#This Row],[GDP_USD]]/tblCountriesClean[[#This Row],[Population]],""))</f>
        <v>4611.5878586386689</v>
      </c>
      <c r="L113" s="40">
        <f>IF(tblCountriesClean[[#This Row],[Data_Quality_Status]]="CHECK","",IFERROR(tblCountriesClean[[#This Row],[Population]]/tblCountriesClean[[#This Row],[Area_km2]],""))</f>
        <v>76.600785959106489</v>
      </c>
      <c r="M113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14" spans="1:13">
      <c r="A114" s="31">
        <v>113</v>
      </c>
      <c r="B114" s="32" t="str">
        <f>_xlfn.XLOOKUP(tblCountriesClean[[#This Row],[Record_ID]],tblCountriesRaw[index],tblCountriesRaw[country],"Check")</f>
        <v>Monaco</v>
      </c>
      <c r="C114" s="36" t="str" cm="1">
        <f t="array" ref="C114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MC</v>
      </c>
      <c r="D114" s="37" cm="1">
        <f t="array" ref="D114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2</v>
      </c>
      <c r="E114" s="38" cm="1">
        <f t="array" ref="E114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377</v>
      </c>
      <c r="F114" s="36" t="str" cm="1">
        <f t="array" ref="F114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Monaco City</v>
      </c>
      <c r="G114" s="37" cm="1">
        <f t="array" ref="G114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7184844193</v>
      </c>
      <c r="H114" s="37" cm="1">
        <f t="array" ref="H114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36469</v>
      </c>
      <c r="I114" s="39" cm="1">
        <f t="array" ref="I114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0.02</v>
      </c>
      <c r="J114" s="36">
        <f>IF(tblCountriesClean[[#This Row],[Data_Quality_Status]]="CHECK","",1+COUNTIFS(tblCountriesClean[GDP_USD],"&gt;"&amp;tblCountriesClean[[#This Row],[GDP_USD]],tblCountriesClean[Data_Quality_Status],"&lt;&gt;CHECK"))</f>
        <v>149</v>
      </c>
      <c r="K114" s="40">
        <f>IF(tblCountriesClean[[#This Row],[Data_Quality_Status]]="CHECK","",IFERROR(tblCountriesClean[[#This Row],[GDP_USD]]/tblCountriesClean[[#This Row],[Population]],""))</f>
        <v>197012.37195974664</v>
      </c>
      <c r="L114" s="40">
        <f>IF(tblCountriesClean[[#This Row],[Data_Quality_Status]]="CHECK","",IFERROR(tblCountriesClean[[#This Row],[Population]]/tblCountriesClean[[#This Row],[Area_km2]],""))</f>
        <v>18234.5</v>
      </c>
      <c r="M114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15" spans="1:13">
      <c r="A115" s="31">
        <v>114</v>
      </c>
      <c r="B115" s="32" t="str">
        <f>_xlfn.XLOOKUP(tblCountriesClean[[#This Row],[Record_ID]],tblCountriesRaw[index],tblCountriesRaw[country],"Check")</f>
        <v>Mongolia</v>
      </c>
      <c r="C115" s="36" t="str" cm="1">
        <f t="array" ref="C115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MN</v>
      </c>
      <c r="D115" s="37" cm="1">
        <f t="array" ref="D115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1564116</v>
      </c>
      <c r="E115" s="38" cm="1">
        <f t="array" ref="E115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976</v>
      </c>
      <c r="F115" s="36" t="str" cm="1">
        <f t="array" ref="F115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Ulaanbaatar</v>
      </c>
      <c r="G115" s="37" cm="1">
        <f t="array" ref="G115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13852850259</v>
      </c>
      <c r="H115" s="37" cm="1">
        <f t="array" ref="H115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3398366</v>
      </c>
      <c r="I115" s="39" cm="1">
        <f t="array" ref="I115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0.06</v>
      </c>
      <c r="J115" s="36">
        <f>IF(tblCountriesClean[[#This Row],[Data_Quality_Status]]="CHECK","",1+COUNTIFS(tblCountriesClean[GDP_USD],"&gt;"&amp;tblCountriesClean[[#This Row],[GDP_USD]],tblCountriesClean[Data_Quality_Status],"&lt;&gt;CHECK"))</f>
        <v>129</v>
      </c>
      <c r="K115" s="40">
        <f>IF(tblCountriesClean[[#This Row],[Data_Quality_Status]]="CHECK","",IFERROR(tblCountriesClean[[#This Row],[GDP_USD]]/tblCountriesClean[[#This Row],[Population]],""))</f>
        <v>4076.3267579183644</v>
      </c>
      <c r="L115" s="40">
        <f>IF(tblCountriesClean[[#This Row],[Data_Quality_Status]]="CHECK","",IFERROR(tblCountriesClean[[#This Row],[Population]]/tblCountriesClean[[#This Row],[Area_km2]],""))</f>
        <v>2.1727071393681801</v>
      </c>
      <c r="M115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16" spans="1:13">
      <c r="A116" s="31">
        <v>115</v>
      </c>
      <c r="B116" s="32" t="str">
        <f>_xlfn.XLOOKUP(tblCountriesClean[[#This Row],[Record_ID]],tblCountriesRaw[index],tblCountriesRaw[country],"Check")</f>
        <v>Montenegro</v>
      </c>
      <c r="C116" s="36" t="str" cm="1">
        <f t="array" ref="C116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ME</v>
      </c>
      <c r="D116" s="37" cm="1">
        <f t="array" ref="D116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13883</v>
      </c>
      <c r="E116" s="38" cm="1">
        <f t="array" ref="E116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382</v>
      </c>
      <c r="F116" s="36" t="str" cm="1">
        <f t="array" ref="F116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Podgorica</v>
      </c>
      <c r="G116" s="37" cm="1">
        <f t="array" ref="G116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5494736901</v>
      </c>
      <c r="H116" s="37" cm="1">
        <f t="array" ref="H116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616159</v>
      </c>
      <c r="I116" s="39" cm="1">
        <f t="array" ref="I116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0.15</v>
      </c>
      <c r="J116" s="36">
        <f>IF(tblCountriesClean[[#This Row],[Data_Quality_Status]]="CHECK","",1+COUNTIFS(tblCountriesClean[GDP_USD],"&gt;"&amp;tblCountriesClean[[#This Row],[GDP_USD]],tblCountriesClean[Data_Quality_Status],"&lt;&gt;CHECK"))</f>
        <v>153</v>
      </c>
      <c r="K116" s="40">
        <f>IF(tblCountriesClean[[#This Row],[Data_Quality_Status]]="CHECK","",IFERROR(tblCountriesClean[[#This Row],[GDP_USD]]/tblCountriesClean[[#This Row],[Population]],""))</f>
        <v>8917.7256211464901</v>
      </c>
      <c r="L116" s="40">
        <f>IF(tblCountriesClean[[#This Row],[Data_Quality_Status]]="CHECK","",IFERROR(tblCountriesClean[[#This Row],[Population]]/tblCountriesClean[[#This Row],[Area_km2]],""))</f>
        <v>44.382266080818269</v>
      </c>
      <c r="M116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17" spans="1:13">
      <c r="A117" s="31">
        <v>116</v>
      </c>
      <c r="B117" s="32" t="str">
        <f>_xlfn.XLOOKUP(tblCountriesClean[[#This Row],[Record_ID]],tblCountriesRaw[index],tblCountriesRaw[country],"Check")</f>
        <v>Morocco</v>
      </c>
      <c r="C117" s="36" t="str" cm="1">
        <f t="array" ref="C117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MA</v>
      </c>
      <c r="D117" s="37" cm="1">
        <f t="array" ref="D117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446550</v>
      </c>
      <c r="E117" s="38" cm="1">
        <f t="array" ref="E117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212</v>
      </c>
      <c r="F117" s="36" t="str" cm="1">
        <f t="array" ref="F117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Rabat</v>
      </c>
      <c r="G117" s="37" cm="1">
        <f t="array" ref="G117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118725279596</v>
      </c>
      <c r="H117" s="37" cm="1">
        <f t="array" ref="H117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37457971</v>
      </c>
      <c r="I117" s="39" cm="1">
        <f t="array" ref="I117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0.09</v>
      </c>
      <c r="J117" s="36">
        <f>IF(tblCountriesClean[[#This Row],[Data_Quality_Status]]="CHECK","",1+COUNTIFS(tblCountriesClean[GDP_USD],"&gt;"&amp;tblCountriesClean[[#This Row],[GDP_USD]],tblCountriesClean[Data_Quality_Status],"&lt;&gt;CHECK"))</f>
        <v>59</v>
      </c>
      <c r="K117" s="40">
        <f>IF(tblCountriesClean[[#This Row],[Data_Quality_Status]]="CHECK","",IFERROR(tblCountriesClean[[#This Row],[GDP_USD]]/tblCountriesClean[[#This Row],[Population]],""))</f>
        <v>3169.559814011282</v>
      </c>
      <c r="L117" s="40">
        <f>IF(tblCountriesClean[[#This Row],[Data_Quality_Status]]="CHECK","",IFERROR(tblCountriesClean[[#This Row],[Population]]/tblCountriesClean[[#This Row],[Area_km2]],""))</f>
        <v>83.88303885343187</v>
      </c>
      <c r="M117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18" spans="1:13">
      <c r="A118" s="31">
        <v>117</v>
      </c>
      <c r="B118" s="32" t="str">
        <f>_xlfn.XLOOKUP(tblCountriesClean[[#This Row],[Record_ID]],tblCountriesRaw[index],tblCountriesRaw[country],"Check")</f>
        <v>Mozambique</v>
      </c>
      <c r="C118" s="36" t="str" cm="1">
        <f t="array" ref="C118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MZ</v>
      </c>
      <c r="D118" s="37" cm="1">
        <f t="array" ref="D118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801590</v>
      </c>
      <c r="E118" s="38" cm="1">
        <f t="array" ref="E118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258</v>
      </c>
      <c r="F118" s="36" t="str" cm="1">
        <f t="array" ref="F118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Maputo</v>
      </c>
      <c r="G118" s="37" cm="1">
        <f t="array" ref="G118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14934159926</v>
      </c>
      <c r="H118" s="37" cm="1">
        <f t="array" ref="H118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32969518</v>
      </c>
      <c r="I118" s="39" cm="1">
        <f t="array" ref="I118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0.03</v>
      </c>
      <c r="J118" s="36">
        <f>IF(tblCountriesClean[[#This Row],[Data_Quality_Status]]="CHECK","",1+COUNTIFS(tblCountriesClean[GDP_USD],"&gt;"&amp;tblCountriesClean[[#This Row],[GDP_USD]],tblCountriesClean[Data_Quality_Status],"&lt;&gt;CHECK"))</f>
        <v>124</v>
      </c>
      <c r="K118" s="40">
        <f>IF(tblCountriesClean[[#This Row],[Data_Quality_Status]]="CHECK","",IFERROR(tblCountriesClean[[#This Row],[GDP_USD]]/tblCountriesClean[[#This Row],[Population]],""))</f>
        <v>452.96870660954158</v>
      </c>
      <c r="L118" s="40">
        <f>IF(tblCountriesClean[[#This Row],[Data_Quality_Status]]="CHECK","",IFERROR(tblCountriesClean[[#This Row],[Population]]/tblCountriesClean[[#This Row],[Area_km2]],""))</f>
        <v>41.130151324243066</v>
      </c>
      <c r="M118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19" spans="1:13">
      <c r="A119" s="31">
        <v>118</v>
      </c>
      <c r="B119" s="32" t="str">
        <f>_xlfn.XLOOKUP(tblCountriesClean[[#This Row],[Record_ID]],tblCountriesRaw[index],tblCountriesRaw[country],"Check")</f>
        <v>Myanmar</v>
      </c>
      <c r="C119" s="36" t="str" cm="1">
        <f t="array" ref="C119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MM</v>
      </c>
      <c r="D119" s="37" cm="1">
        <f t="array" ref="D119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676577</v>
      </c>
      <c r="E119" s="38" cm="1">
        <f t="array" ref="E119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95</v>
      </c>
      <c r="F119" s="36" t="str" cm="1">
        <f t="array" ref="F119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Naypyidaw</v>
      </c>
      <c r="G119" s="37" cm="1">
        <f t="array" ref="G119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76085852617</v>
      </c>
      <c r="H119" s="37" cm="1">
        <f t="array" ref="H119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54179306</v>
      </c>
      <c r="I119" s="39" cm="1">
        <f t="array" ref="I119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0.02</v>
      </c>
      <c r="J119" s="36">
        <f>IF(tblCountriesClean[[#This Row],[Data_Quality_Status]]="CHECK","",1+COUNTIFS(tblCountriesClean[GDP_USD],"&gt;"&amp;tblCountriesClean[[#This Row],[GDP_USD]],tblCountriesClean[Data_Quality_Status],"&lt;&gt;CHECK"))</f>
        <v>71</v>
      </c>
      <c r="K119" s="40">
        <f>IF(tblCountriesClean[[#This Row],[Data_Quality_Status]]="CHECK","",IFERROR(tblCountriesClean[[#This Row],[GDP_USD]]/tblCountriesClean[[#This Row],[Population]],""))</f>
        <v>1404.334204963792</v>
      </c>
      <c r="L119" s="40">
        <f>IF(tblCountriesClean[[#This Row],[Data_Quality_Status]]="CHECK","",IFERROR(tblCountriesClean[[#This Row],[Population]]/tblCountriesClean[[#This Row],[Area_km2]],""))</f>
        <v>80.078551295713567</v>
      </c>
      <c r="M119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20" spans="1:13">
      <c r="A120" s="31">
        <v>119</v>
      </c>
      <c r="B120" s="32" t="str">
        <f>_xlfn.XLOOKUP(tblCountriesClean[[#This Row],[Record_ID]],tblCountriesRaw[index],tblCountriesRaw[country],"Check")</f>
        <v>Namibia</v>
      </c>
      <c r="C120" s="36" t="str" cm="1">
        <f t="array" ref="C120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NA</v>
      </c>
      <c r="D120" s="37" cm="1">
        <f t="array" ref="D120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825615</v>
      </c>
      <c r="E120" s="38" cm="1">
        <f t="array" ref="E120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264</v>
      </c>
      <c r="F120" s="36" t="str" cm="1">
        <f t="array" ref="F120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Windhoek</v>
      </c>
      <c r="G120" s="37" cm="1">
        <f t="array" ref="G120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12366527719</v>
      </c>
      <c r="H120" s="37" cm="1">
        <f t="array" ref="H120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2567012</v>
      </c>
      <c r="I120" s="39" cm="1">
        <f t="array" ref="I120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0.2</v>
      </c>
      <c r="J120" s="36">
        <f>IF(tblCountriesClean[[#This Row],[Data_Quality_Status]]="CHECK","",1+COUNTIFS(tblCountriesClean[GDP_USD],"&gt;"&amp;tblCountriesClean[[#This Row],[GDP_USD]],tblCountriesClean[Data_Quality_Status],"&lt;&gt;CHECK"))</f>
        <v>136</v>
      </c>
      <c r="K120" s="40">
        <f>IF(tblCountriesClean[[#This Row],[Data_Quality_Status]]="CHECK","",IFERROR(tblCountriesClean[[#This Row],[GDP_USD]]/tblCountriesClean[[#This Row],[Population]],""))</f>
        <v>4817.4795127564657</v>
      </c>
      <c r="L120" s="40">
        <f>IF(tblCountriesClean[[#This Row],[Data_Quality_Status]]="CHECK","",IFERROR(tblCountriesClean[[#This Row],[Population]]/tblCountriesClean[[#This Row],[Area_km2]],""))</f>
        <v>3.1092119208105471</v>
      </c>
      <c r="M120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21" spans="1:13">
      <c r="A121" s="31">
        <v>120</v>
      </c>
      <c r="B121" s="32" t="str">
        <f>_xlfn.XLOOKUP(tblCountriesClean[[#This Row],[Record_ID]],tblCountriesRaw[index],tblCountriesRaw[country],"Check")</f>
        <v>Nauru</v>
      </c>
      <c r="C121" s="36" t="str" cm="1">
        <f t="array" ref="C121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NR</v>
      </c>
      <c r="D121" s="37" cm="1">
        <f t="array" ref="D121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21</v>
      </c>
      <c r="E121" s="38" cm="1">
        <f t="array" ref="E121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674</v>
      </c>
      <c r="F121" s="36" t="str" cm="1">
        <f t="array" ref="F121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Yaren District</v>
      </c>
      <c r="G121" s="37" cm="1">
        <f t="array" ref="G121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133000000</v>
      </c>
      <c r="H121" s="37" cm="1">
        <f t="array" ref="H121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12668</v>
      </c>
      <c r="I121" s="39" cm="1">
        <f t="array" ref="I121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0.02</v>
      </c>
      <c r="J121" s="36">
        <f>IF(tblCountriesClean[[#This Row],[Data_Quality_Status]]="CHECK","",1+COUNTIFS(tblCountriesClean[GDP_USD],"&gt;"&amp;tblCountriesClean[[#This Row],[GDP_USD]],tblCountriesClean[Data_Quality_Status],"&lt;&gt;CHECK"))</f>
        <v>192</v>
      </c>
      <c r="K121" s="40">
        <f>IF(tblCountriesClean[[#This Row],[Data_Quality_Status]]="CHECK","",IFERROR(tblCountriesClean[[#This Row],[GDP_USD]]/tblCountriesClean[[#This Row],[Population]],""))</f>
        <v>10498.894853173349</v>
      </c>
      <c r="L121" s="40">
        <f>IF(tblCountriesClean[[#This Row],[Data_Quality_Status]]="CHECK","",IFERROR(tblCountriesClean[[#This Row],[Population]]/tblCountriesClean[[#This Row],[Area_km2]],""))</f>
        <v>603.23809523809518</v>
      </c>
      <c r="M121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22" spans="1:13">
      <c r="A122" s="31">
        <v>121</v>
      </c>
      <c r="B122" s="32" t="str">
        <f>_xlfn.XLOOKUP(tblCountriesClean[[#This Row],[Record_ID]],tblCountriesRaw[index],tblCountriesRaw[country],"Check")</f>
        <v>Nepal</v>
      </c>
      <c r="C122" s="36" t="str" cm="1">
        <f t="array" ref="C122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NP</v>
      </c>
      <c r="D122" s="37" cm="1">
        <f t="array" ref="D122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147181</v>
      </c>
      <c r="E122" s="38" cm="1">
        <f t="array" ref="E122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977</v>
      </c>
      <c r="F122" s="36" t="str" cm="1">
        <f t="array" ref="F122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Kathmandu</v>
      </c>
      <c r="G122" s="37" cm="1">
        <f t="array" ref="G122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30641380604</v>
      </c>
      <c r="H122" s="37" cm="1">
        <f t="array" ref="H122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30547580</v>
      </c>
      <c r="I122" s="39" cm="1">
        <f t="array" ref="I122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0.01</v>
      </c>
      <c r="J122" s="36">
        <f>IF(tblCountriesClean[[#This Row],[Data_Quality_Status]]="CHECK","",1+COUNTIFS(tblCountriesClean[GDP_USD],"&gt;"&amp;tblCountriesClean[[#This Row],[GDP_USD]],tblCountriesClean[Data_Quality_Status],"&lt;&gt;CHECK"))</f>
        <v>101</v>
      </c>
      <c r="K122" s="40">
        <f>IF(tblCountriesClean[[#This Row],[Data_Quality_Status]]="CHECK","",IFERROR(tblCountriesClean[[#This Row],[GDP_USD]]/tblCountriesClean[[#This Row],[Population]],""))</f>
        <v>1003.070639441815</v>
      </c>
      <c r="L122" s="40">
        <f>IF(tblCountriesClean[[#This Row],[Data_Quality_Status]]="CHECK","",IFERROR(tblCountriesClean[[#This Row],[Population]]/tblCountriesClean[[#This Row],[Area_km2]],""))</f>
        <v>207.55111053736556</v>
      </c>
      <c r="M122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23" spans="1:13">
      <c r="A123" s="31">
        <v>122</v>
      </c>
      <c r="B123" s="32" t="str">
        <f>_xlfn.XLOOKUP(tblCountriesClean[[#This Row],[Record_ID]],tblCountriesRaw[index],tblCountriesRaw[country],"Check")</f>
        <v>Netherlands</v>
      </c>
      <c r="C123" s="36" t="str" cm="1">
        <f t="array" ref="C123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NL</v>
      </c>
      <c r="D123" s="37" cm="1">
        <f t="array" ref="D123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37378</v>
      </c>
      <c r="E123" s="38" cm="1">
        <f t="array" ref="E123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31</v>
      </c>
      <c r="F123" s="36" t="str" cm="1">
        <f t="array" ref="F123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Amsterdam</v>
      </c>
      <c r="G123" s="37" cm="1">
        <f t="array" ref="G123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909070395161</v>
      </c>
      <c r="H123" s="37" cm="1">
        <f t="array" ref="H123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17942942</v>
      </c>
      <c r="I123" s="39" cm="1">
        <f t="array" ref="I123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0.03</v>
      </c>
      <c r="J123" s="36">
        <f>IF(tblCountriesClean[[#This Row],[Data_Quality_Status]]="CHECK","",1+COUNTIFS(tblCountriesClean[GDP_USD],"&gt;"&amp;tblCountriesClean[[#This Row],[GDP_USD]],tblCountriesClean[Data_Quality_Status],"&lt;&gt;CHECK"))</f>
        <v>17</v>
      </c>
      <c r="K123" s="40">
        <f>IF(tblCountriesClean[[#This Row],[Data_Quality_Status]]="CHECK","",IFERROR(tblCountriesClean[[#This Row],[GDP_USD]]/tblCountriesClean[[#This Row],[Population]],""))</f>
        <v>50664.511715024215</v>
      </c>
      <c r="L123" s="40">
        <f>IF(tblCountriesClean[[#This Row],[Data_Quality_Status]]="CHECK","",IFERROR(tblCountriesClean[[#This Row],[Population]]/tblCountriesClean[[#This Row],[Area_km2]],""))</f>
        <v>480.04018406549307</v>
      </c>
      <c r="M123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24" spans="1:13">
      <c r="A124" s="31">
        <v>123</v>
      </c>
      <c r="B124" s="32" t="str">
        <f>_xlfn.XLOOKUP(tblCountriesClean[[#This Row],[Record_ID]],tblCountriesRaw[index],tblCountriesRaw[country],"Check")</f>
        <v>New Zealand</v>
      </c>
      <c r="C124" s="36" t="str" cm="1">
        <f t="array" ref="C124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NZ</v>
      </c>
      <c r="D124" s="37" cm="1">
        <f t="array" ref="D124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268021</v>
      </c>
      <c r="E124" s="38" cm="1">
        <f t="array" ref="E124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64</v>
      </c>
      <c r="F124" s="36" t="str" cm="1">
        <f t="array" ref="F124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Wellington</v>
      </c>
      <c r="G124" s="37" cm="1">
        <f t="array" ref="G124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206928765544</v>
      </c>
      <c r="H124" s="37" cm="1">
        <f t="array" ref="H124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5124100</v>
      </c>
      <c r="I124" s="39" cm="1">
        <f t="array" ref="I124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0.04</v>
      </c>
      <c r="J124" s="36">
        <f>IF(tblCountriesClean[[#This Row],[Data_Quality_Status]]="CHECK","",1+COUNTIFS(tblCountriesClean[GDP_USD],"&gt;"&amp;tblCountriesClean[[#This Row],[GDP_USD]],tblCountriesClean[Data_Quality_Status],"&lt;&gt;CHECK"))</f>
        <v>52</v>
      </c>
      <c r="K124" s="40">
        <f>IF(tblCountriesClean[[#This Row],[Data_Quality_Status]]="CHECK","",IFERROR(tblCountriesClean[[#This Row],[GDP_USD]]/tblCountriesClean[[#This Row],[Population]],""))</f>
        <v>40383.436221775533</v>
      </c>
      <c r="L124" s="40">
        <f>IF(tblCountriesClean[[#This Row],[Data_Quality_Status]]="CHECK","",IFERROR(tblCountriesClean[[#This Row],[Population]]/tblCountriesClean[[#This Row],[Area_km2]],""))</f>
        <v>19.118278045377043</v>
      </c>
      <c r="M124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25" spans="1:13">
      <c r="A125" s="31">
        <v>124</v>
      </c>
      <c r="B125" s="32" t="str">
        <f>_xlfn.XLOOKUP(tblCountriesClean[[#This Row],[Record_ID]],tblCountriesRaw[index],tblCountriesRaw[country],"Check")</f>
        <v>Nicaragua</v>
      </c>
      <c r="C125" s="36" t="str" cm="1">
        <f t="array" ref="C125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NI</v>
      </c>
      <c r="D125" s="37" cm="1">
        <f t="array" ref="D125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130375</v>
      </c>
      <c r="E125" s="38" cm="1">
        <f t="array" ref="E125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505</v>
      </c>
      <c r="F125" s="36" t="str" cm="1">
        <f t="array" ref="F125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Managua</v>
      </c>
      <c r="G125" s="37" cm="1">
        <f t="array" ref="G125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12520915291</v>
      </c>
      <c r="H125" s="37" cm="1">
        <f t="array" ref="H125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6948392</v>
      </c>
      <c r="I125" s="39" cm="1">
        <f t="array" ref="I125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7.0000000000000007E-2</v>
      </c>
      <c r="J125" s="36">
        <f>IF(tblCountriesClean[[#This Row],[Data_Quality_Status]]="CHECK","",1+COUNTIFS(tblCountriesClean[GDP_USD],"&gt;"&amp;tblCountriesClean[[#This Row],[GDP_USD]],tblCountriesClean[Data_Quality_Status],"&lt;&gt;CHECK"))</f>
        <v>135</v>
      </c>
      <c r="K125" s="40">
        <f>IF(tblCountriesClean[[#This Row],[Data_Quality_Status]]="CHECK","",IFERROR(tblCountriesClean[[#This Row],[GDP_USD]]/tblCountriesClean[[#This Row],[Population]],""))</f>
        <v>1801.987465733079</v>
      </c>
      <c r="L125" s="40">
        <f>IF(tblCountriesClean[[#This Row],[Data_Quality_Status]]="CHECK","",IFERROR(tblCountriesClean[[#This Row],[Population]]/tblCountriesClean[[#This Row],[Area_km2]],""))</f>
        <v>53.295432406519652</v>
      </c>
      <c r="M125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26" spans="1:13">
      <c r="A126" s="31">
        <v>125</v>
      </c>
      <c r="B126" s="32" t="str">
        <f>_xlfn.XLOOKUP(tblCountriesClean[[#This Row],[Record_ID]],tblCountriesRaw[index],tblCountriesRaw[country],"Check")</f>
        <v>Niger</v>
      </c>
      <c r="C126" s="36" t="str" cm="1">
        <f t="array" ref="C126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NE</v>
      </c>
      <c r="D126" s="37" cm="1">
        <f t="array" ref="D126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1267000</v>
      </c>
      <c r="E126" s="38" cm="1">
        <f t="array" ref="E126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227</v>
      </c>
      <c r="F126" s="36" t="str" cm="1">
        <f t="array" ref="F126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Niamey</v>
      </c>
      <c r="G126" s="37" cm="1">
        <f t="array" ref="G126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12928145120</v>
      </c>
      <c r="H126" s="37" cm="1">
        <f t="array" ref="H126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26207977</v>
      </c>
      <c r="I126" s="39" cm="1">
        <f t="array" ref="I126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</v>
      </c>
      <c r="J126" s="36">
        <f>IF(tblCountriesClean[[#This Row],[Data_Quality_Status]]="CHECK","",1+COUNTIFS(tblCountriesClean[GDP_USD],"&gt;"&amp;tblCountriesClean[[#This Row],[GDP_USD]],tblCountriesClean[Data_Quality_Status],"&lt;&gt;CHECK"))</f>
        <v>133</v>
      </c>
      <c r="K126" s="40">
        <f>IF(tblCountriesClean[[#This Row],[Data_Quality_Status]]="CHECK","",IFERROR(tblCountriesClean[[#This Row],[GDP_USD]]/tblCountriesClean[[#This Row],[Population]],""))</f>
        <v>493.29046343409107</v>
      </c>
      <c r="L126" s="40">
        <f>IF(tblCountriesClean[[#This Row],[Data_Quality_Status]]="CHECK","",IFERROR(tblCountriesClean[[#This Row],[Population]]/tblCountriesClean[[#This Row],[Area_km2]],""))</f>
        <v>20.685064719810576</v>
      </c>
      <c r="M126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27" spans="1:13">
      <c r="A127" s="31">
        <v>126</v>
      </c>
      <c r="B127" s="32" t="str">
        <f>_xlfn.XLOOKUP(tblCountriesClean[[#This Row],[Record_ID]],tblCountriesRaw[index],tblCountriesRaw[country],"Check")</f>
        <v>Nigeria</v>
      </c>
      <c r="C127" s="36" t="str" cm="1">
        <f t="array" ref="C127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NG</v>
      </c>
      <c r="D127" s="37" cm="1">
        <f t="array" ref="D127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923768</v>
      </c>
      <c r="E127" s="38" cm="1">
        <f t="array" ref="E127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234</v>
      </c>
      <c r="F127" s="36" t="str" cm="1">
        <f t="array" ref="F127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Abuja</v>
      </c>
      <c r="G127" s="37" cm="1">
        <f t="array" ref="G127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448120428859</v>
      </c>
      <c r="H127" s="37" cm="1">
        <f t="array" ref="H127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218541212</v>
      </c>
      <c r="I127" s="39" cm="1">
        <f t="array" ref="I127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0.08</v>
      </c>
      <c r="J127" s="36">
        <f>IF(tblCountriesClean[[#This Row],[Data_Quality_Status]]="CHECK","",1+COUNTIFS(tblCountriesClean[GDP_USD],"&gt;"&amp;tblCountriesClean[[#This Row],[GDP_USD]],tblCountriesClean[Data_Quality_Status],"&lt;&gt;CHECK"))</f>
        <v>27</v>
      </c>
      <c r="K127" s="40">
        <f>IF(tblCountriesClean[[#This Row],[Data_Quality_Status]]="CHECK","",IFERROR(tblCountriesClean[[#This Row],[GDP_USD]]/tblCountriesClean[[#This Row],[Population]],""))</f>
        <v>2050.5076582946745</v>
      </c>
      <c r="L127" s="40">
        <f>IF(tblCountriesClean[[#This Row],[Data_Quality_Status]]="CHECK","",IFERROR(tblCountriesClean[[#This Row],[Population]]/tblCountriesClean[[#This Row],[Area_km2]],""))</f>
        <v>236.57586320374813</v>
      </c>
      <c r="M127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28" spans="1:13">
      <c r="A128" s="31">
        <v>127</v>
      </c>
      <c r="B128" s="32" t="str">
        <f>_xlfn.XLOOKUP(tblCountriesClean[[#This Row],[Record_ID]],tblCountriesRaw[index],tblCountriesRaw[country],"Check")</f>
        <v>North Korea</v>
      </c>
      <c r="C128" s="36" t="str" cm="1">
        <f t="array" ref="C128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KP</v>
      </c>
      <c r="D128" s="37" cm="1">
        <f t="array" ref="D128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120540</v>
      </c>
      <c r="E128" s="38" cm="1">
        <f t="array" ref="E128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850</v>
      </c>
      <c r="F128" s="36" t="str" cm="1">
        <f t="array" ref="F128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Pyongyang</v>
      </c>
      <c r="G128" s="37" cm="1">
        <f t="array" ref="G128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32100000000</v>
      </c>
      <c r="H128" s="37" cm="1">
        <f t="array" ref="H128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26069416</v>
      </c>
      <c r="I128" s="39" cm="1">
        <f t="array" ref="I128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0.03</v>
      </c>
      <c r="J128" s="36">
        <f>IF(tblCountriesClean[[#This Row],[Data_Quality_Status]]="CHECK","",1+COUNTIFS(tblCountriesClean[GDP_USD],"&gt;"&amp;tblCountriesClean[[#This Row],[GDP_USD]],tblCountriesClean[Data_Quality_Status],"&lt;&gt;CHECK"))</f>
        <v>99</v>
      </c>
      <c r="K128" s="40">
        <f>IF(tblCountriesClean[[#This Row],[Data_Quality_Status]]="CHECK","",IFERROR(tblCountriesClean[[#This Row],[GDP_USD]]/tblCountriesClean[[#This Row],[Population]],""))</f>
        <v>1231.3279284814053</v>
      </c>
      <c r="L128" s="40">
        <f>IF(tblCountriesClean[[#This Row],[Data_Quality_Status]]="CHECK","",IFERROR(tblCountriesClean[[#This Row],[Population]]/tblCountriesClean[[#This Row],[Area_km2]],""))</f>
        <v>216.27190973950556</v>
      </c>
      <c r="M128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29" spans="1:13">
      <c r="A129" s="31">
        <v>128</v>
      </c>
      <c r="B129" s="32" t="str">
        <f>_xlfn.XLOOKUP(tblCountriesClean[[#This Row],[Record_ID]],tblCountriesRaw[index],tblCountriesRaw[country],"Check")</f>
        <v>North Macedonia</v>
      </c>
      <c r="C129" s="36" t="str" cm="1">
        <f t="array" ref="C129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MK</v>
      </c>
      <c r="D129" s="37" cm="1">
        <f t="array" ref="D129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25713</v>
      </c>
      <c r="E129" s="38" cm="1">
        <f t="array" ref="E129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389</v>
      </c>
      <c r="F129" s="36" t="str" cm="1">
        <f t="array" ref="F129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Skopje</v>
      </c>
      <c r="G129" s="37" cm="1">
        <f t="array" ref="G129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10220781069</v>
      </c>
      <c r="H129" s="37" cm="1">
        <f t="array" ref="H129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2057679</v>
      </c>
      <c r="I129" s="39" cm="1">
        <f t="array" ref="I129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0.03</v>
      </c>
      <c r="J129" s="36">
        <f>IF(tblCountriesClean[[#This Row],[Data_Quality_Status]]="CHECK","",1+COUNTIFS(tblCountriesClean[GDP_USD],"&gt;"&amp;tblCountriesClean[[#This Row],[GDP_USD]],tblCountriesClean[Data_Quality_Status],"&lt;&gt;CHECK"))</f>
        <v>142</v>
      </c>
      <c r="K129" s="40">
        <f>IF(tblCountriesClean[[#This Row],[Data_Quality_Status]]="CHECK","",IFERROR(tblCountriesClean[[#This Row],[GDP_USD]]/tblCountriesClean[[#This Row],[Population]],""))</f>
        <v>4967.1406808350575</v>
      </c>
      <c r="L129" s="40">
        <f>IF(tblCountriesClean[[#This Row],[Data_Quality_Status]]="CHECK","",IFERROR(tblCountriesClean[[#This Row],[Population]]/tblCountriesClean[[#This Row],[Area_km2]],""))</f>
        <v>80.024851242562121</v>
      </c>
      <c r="M129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CORRECTED</v>
      </c>
    </row>
    <row r="130" spans="1:13">
      <c r="A130" s="31">
        <v>129</v>
      </c>
      <c r="B130" s="32" t="str">
        <f>_xlfn.XLOOKUP(tblCountriesClean[[#This Row],[Record_ID]],tblCountriesRaw[index],tblCountriesRaw[country],"Check")</f>
        <v>Norway</v>
      </c>
      <c r="C130" s="36" t="str" cm="1">
        <f t="array" ref="C130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NO</v>
      </c>
      <c r="D130" s="37" cm="1">
        <f t="array" ref="D130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385207</v>
      </c>
      <c r="E130" s="38" cm="1">
        <f t="array" ref="E130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47</v>
      </c>
      <c r="F130" s="36" t="str" cm="1">
        <f t="array" ref="F130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Oslo</v>
      </c>
      <c r="G130" s="37" cm="1">
        <f t="array" ref="G130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403336363636</v>
      </c>
      <c r="H130" s="37" cm="1">
        <f t="array" ref="H130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5457127</v>
      </c>
      <c r="I130" s="39" cm="1">
        <f t="array" ref="I130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0.03</v>
      </c>
      <c r="J130" s="36">
        <f>IF(tblCountriesClean[[#This Row],[Data_Quality_Status]]="CHECK","",1+COUNTIFS(tblCountriesClean[GDP_USD],"&gt;"&amp;tblCountriesClean[[#This Row],[GDP_USD]],tblCountriesClean[Data_Quality_Status],"&lt;&gt;CHECK"))</f>
        <v>31</v>
      </c>
      <c r="K130" s="40">
        <f>IF(tblCountriesClean[[#This Row],[Data_Quality_Status]]="CHECK","",IFERROR(tblCountriesClean[[#This Row],[GDP_USD]]/tblCountriesClean[[#This Row],[Population]],""))</f>
        <v>73910.0196194811</v>
      </c>
      <c r="L130" s="40">
        <f>IF(tblCountriesClean[[#This Row],[Data_Quality_Status]]="CHECK","",IFERROR(tblCountriesClean[[#This Row],[Population]]/tblCountriesClean[[#This Row],[Area_km2]],""))</f>
        <v>14.166738922189888</v>
      </c>
      <c r="M130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31" spans="1:13">
      <c r="A131" s="31">
        <v>130</v>
      </c>
      <c r="B131" s="32" t="str">
        <f>_xlfn.XLOOKUP(tblCountriesClean[[#This Row],[Record_ID]],tblCountriesRaw[index],tblCountriesRaw[country],"Check")</f>
        <v>Oman</v>
      </c>
      <c r="C131" s="36" t="str" cm="1">
        <f t="array" ref="C131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OM</v>
      </c>
      <c r="D131" s="37" cm="1">
        <f t="array" ref="D131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309500</v>
      </c>
      <c r="E131" s="38" cm="1">
        <f t="array" ref="E131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968</v>
      </c>
      <c r="F131" s="36" t="str" cm="1">
        <f t="array" ref="F131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Muscat</v>
      </c>
      <c r="G131" s="37" cm="1">
        <f t="array" ref="G131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76983094928</v>
      </c>
      <c r="H131" s="37" cm="1">
        <f t="array" ref="H131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4576298</v>
      </c>
      <c r="I131" s="39" cm="1">
        <f t="array" ref="I131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0.03</v>
      </c>
      <c r="J131" s="36">
        <f>IF(tblCountriesClean[[#This Row],[Data_Quality_Status]]="CHECK","",1+COUNTIFS(tblCountriesClean[GDP_USD],"&gt;"&amp;tblCountriesClean[[#This Row],[GDP_USD]],tblCountriesClean[Data_Quality_Status],"&lt;&gt;CHECK"))</f>
        <v>69</v>
      </c>
      <c r="K131" s="40">
        <f>IF(tblCountriesClean[[#This Row],[Data_Quality_Status]]="CHECK","",IFERROR(tblCountriesClean[[#This Row],[GDP_USD]]/tblCountriesClean[[#This Row],[Population]],""))</f>
        <v>16822.133289396799</v>
      </c>
      <c r="L131" s="40">
        <f>IF(tblCountriesClean[[#This Row],[Data_Quality_Status]]="CHECK","",IFERROR(tblCountriesClean[[#This Row],[Population]]/tblCountriesClean[[#This Row],[Area_km2]],""))</f>
        <v>14.786100161550889</v>
      </c>
      <c r="M131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32" spans="1:13">
      <c r="A132" s="31">
        <v>131</v>
      </c>
      <c r="B132" s="32" t="str">
        <f>_xlfn.XLOOKUP(tblCountriesClean[[#This Row],[Record_ID]],tblCountriesRaw[index],tblCountriesRaw[country],"Check")</f>
        <v>Pakistan</v>
      </c>
      <c r="C132" s="36" t="str" cm="1">
        <f t="array" ref="C132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PK</v>
      </c>
      <c r="D132" s="37" cm="1">
        <f t="array" ref="D132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881913</v>
      </c>
      <c r="E132" s="38" cm="1">
        <f t="array" ref="E132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92</v>
      </c>
      <c r="F132" s="36" t="str" cm="1">
        <f t="array" ref="F132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Islamabad</v>
      </c>
      <c r="G132" s="37" cm="1">
        <f t="array" ref="G132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304400000000</v>
      </c>
      <c r="H132" s="37" cm="1">
        <f t="array" ref="H132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235824862</v>
      </c>
      <c r="I132" s="39" cm="1">
        <f t="array" ref="I132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0.04</v>
      </c>
      <c r="J132" s="36">
        <f>IF(tblCountriesClean[[#This Row],[Data_Quality_Status]]="CHECK","",1+COUNTIFS(tblCountriesClean[GDP_USD],"&gt;"&amp;tblCountriesClean[[#This Row],[GDP_USD]],tblCountriesClean[Data_Quality_Status],"&lt;&gt;CHECK"))</f>
        <v>40</v>
      </c>
      <c r="K132" s="40">
        <f>IF(tblCountriesClean[[#This Row],[Data_Quality_Status]]="CHECK","",IFERROR(tblCountriesClean[[#This Row],[GDP_USD]]/tblCountriesClean[[#This Row],[Population]],""))</f>
        <v>1290.7884156845175</v>
      </c>
      <c r="L132" s="40">
        <f>IF(tblCountriesClean[[#This Row],[Data_Quality_Status]]="CHECK","",IFERROR(tblCountriesClean[[#This Row],[Population]]/tblCountriesClean[[#This Row],[Area_km2]],""))</f>
        <v>267.40150332289011</v>
      </c>
      <c r="M132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33" spans="1:13">
      <c r="A133" s="31">
        <v>132</v>
      </c>
      <c r="B133" s="32" t="str">
        <f>_xlfn.XLOOKUP(tblCountriesClean[[#This Row],[Record_ID]],tblCountriesRaw[index],tblCountriesRaw[country],"Check")</f>
        <v>Palau</v>
      </c>
      <c r="C133" s="36" t="str" cm="1">
        <f t="array" ref="C133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PW</v>
      </c>
      <c r="D133" s="37" cm="1">
        <f t="array" ref="D133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466</v>
      </c>
      <c r="E133" s="38" cm="1">
        <f t="array" ref="E133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680</v>
      </c>
      <c r="F133" s="36" t="str" cm="1">
        <f t="array" ref="F133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Ngerulmud</v>
      </c>
      <c r="G133" s="37" cm="1">
        <f t="array" ref="G133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283994900</v>
      </c>
      <c r="H133" s="37" cm="1">
        <f t="array" ref="H133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18055</v>
      </c>
      <c r="I133" s="39" cm="1">
        <f t="array" ref="I133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0.03</v>
      </c>
      <c r="J133" s="36">
        <f>IF(tblCountriesClean[[#This Row],[Data_Quality_Status]]="CHECK","",1+COUNTIFS(tblCountriesClean[GDP_USD],"&gt;"&amp;tblCountriesClean[[#This Row],[GDP_USD]],tblCountriesClean[Data_Quality_Status],"&lt;&gt;CHECK"))</f>
        <v>189</v>
      </c>
      <c r="K133" s="40">
        <f>IF(tblCountriesClean[[#This Row],[Data_Quality_Status]]="CHECK","",IFERROR(tblCountriesClean[[#This Row],[GDP_USD]]/tblCountriesClean[[#This Row],[Population]],""))</f>
        <v>15729.432290224315</v>
      </c>
      <c r="L133" s="40">
        <f>IF(tblCountriesClean[[#This Row],[Data_Quality_Status]]="CHECK","",IFERROR(tblCountriesClean[[#This Row],[Population]]/tblCountriesClean[[#This Row],[Area_km2]],""))</f>
        <v>38.74463519313305</v>
      </c>
      <c r="M133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34" spans="1:13">
      <c r="A134" s="31">
        <v>133</v>
      </c>
      <c r="B134" s="32" t="str">
        <f>_xlfn.XLOOKUP(tblCountriesClean[[#This Row],[Record_ID]],tblCountriesRaw[index],tblCountriesRaw[country],"Check")</f>
        <v>Palestine State</v>
      </c>
      <c r="C134" s="36" t="str" cm="1">
        <f t="array" ref="C134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PW</v>
      </c>
      <c r="D134" s="37" cm="1">
        <f t="array" ref="D134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466</v>
      </c>
      <c r="E134" s="38" cm="1">
        <f t="array" ref="E134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680</v>
      </c>
      <c r="F134" s="36" t="str" cm="1">
        <f t="array" ref="F134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Ngerulmud</v>
      </c>
      <c r="G134" s="37" cm="1">
        <f t="array" ref="G134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283994901</v>
      </c>
      <c r="H134" s="37" cm="1">
        <f t="array" ref="H134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18055</v>
      </c>
      <c r="I134" s="39" cm="1">
        <f t="array" ref="I134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0.03</v>
      </c>
      <c r="J134" s="36" t="str">
        <f>IF(tblCountriesClean[[#This Row],[Data_Quality_Status]]="CHECK","",1+COUNTIFS(tblCountriesClean[GDP_USD],"&gt;"&amp;tblCountriesClean[[#This Row],[GDP_USD]],tblCountriesClean[Data_Quality_Status],"&lt;&gt;CHECK"))</f>
        <v/>
      </c>
      <c r="K134" s="40" t="str">
        <f>IF(tblCountriesClean[[#This Row],[Data_Quality_Status]]="CHECK","",IFERROR(tblCountriesClean[[#This Row],[GDP_USD]]/tblCountriesClean[[#This Row],[Population]],""))</f>
        <v/>
      </c>
      <c r="L134" s="40" t="str">
        <f>IF(tblCountriesClean[[#This Row],[Data_Quality_Status]]="CHECK","",IFERROR(tblCountriesClean[[#This Row],[Population]]/tblCountriesClean[[#This Row],[Area_km2]],""))</f>
        <v/>
      </c>
      <c r="M134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CHECK</v>
      </c>
    </row>
    <row r="135" spans="1:13">
      <c r="A135" s="31">
        <v>134</v>
      </c>
      <c r="B135" s="32" t="str">
        <f>_xlfn.XLOOKUP(tblCountriesClean[[#This Row],[Record_ID]],tblCountriesRaw[index],tblCountriesRaw[country],"Check")</f>
        <v>Panama</v>
      </c>
      <c r="C135" s="36" t="str" cm="1">
        <f t="array" ref="C135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PA</v>
      </c>
      <c r="D135" s="37" cm="1">
        <f t="array" ref="D135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74177</v>
      </c>
      <c r="E135" s="38" cm="1">
        <f t="array" ref="E135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507</v>
      </c>
      <c r="F135" s="36" t="str" cm="1">
        <f t="array" ref="F135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Panama City</v>
      </c>
      <c r="G135" s="37" cm="1">
        <f t="array" ref="G135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66800800000</v>
      </c>
      <c r="H135" s="37" cm="1">
        <f t="array" ref="H135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4408581</v>
      </c>
      <c r="I135" s="39" cm="1">
        <f t="array" ref="I135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0.04</v>
      </c>
      <c r="J135" s="36">
        <f>IF(tblCountriesClean[[#This Row],[Data_Quality_Status]]="CHECK","",1+COUNTIFS(tblCountriesClean[GDP_USD],"&gt;"&amp;tblCountriesClean[[#This Row],[GDP_USD]],tblCountriesClean[Data_Quality_Status],"&lt;&gt;CHECK"))</f>
        <v>74</v>
      </c>
      <c r="K135" s="40">
        <f>IF(tblCountriesClean[[#This Row],[Data_Quality_Status]]="CHECK","",IFERROR(tblCountriesClean[[#This Row],[GDP_USD]]/tblCountriesClean[[#This Row],[Population]],""))</f>
        <v>15152.449280165205</v>
      </c>
      <c r="L135" s="40">
        <f>IF(tblCountriesClean[[#This Row],[Data_Quality_Status]]="CHECK","",IFERROR(tblCountriesClean[[#This Row],[Population]]/tblCountriesClean[[#This Row],[Area_km2]],""))</f>
        <v>59.433260983862922</v>
      </c>
      <c r="M135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36" spans="1:13">
      <c r="A136" s="31">
        <v>135</v>
      </c>
      <c r="B136" s="32" t="str">
        <f>_xlfn.XLOOKUP(tblCountriesClean[[#This Row],[Record_ID]],tblCountriesRaw[index],tblCountriesRaw[country],"Check")</f>
        <v>Papua New Guinea</v>
      </c>
      <c r="C136" s="36" t="str" cm="1">
        <f t="array" ref="C136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PG</v>
      </c>
      <c r="D136" s="37" cm="1">
        <f t="array" ref="D136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462840</v>
      </c>
      <c r="E136" s="38" cm="1">
        <f t="array" ref="E136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675</v>
      </c>
      <c r="F136" s="36" t="str" cm="1">
        <f t="array" ref="F136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Port Moresby</v>
      </c>
      <c r="G136" s="37" cm="1">
        <f t="array" ref="G136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24969611435</v>
      </c>
      <c r="H136" s="37" cm="1">
        <f t="array" ref="H136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10142619</v>
      </c>
      <c r="I136" s="39" cm="1">
        <f t="array" ref="I136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0.02</v>
      </c>
      <c r="J136" s="36">
        <f>IF(tblCountriesClean[[#This Row],[Data_Quality_Status]]="CHECK","",1+COUNTIFS(tblCountriesClean[GDP_USD],"&gt;"&amp;tblCountriesClean[[#This Row],[GDP_USD]],tblCountriesClean[Data_Quality_Status],"&lt;&gt;CHECK"))</f>
        <v>106</v>
      </c>
      <c r="K136" s="40">
        <f>IF(tblCountriesClean[[#This Row],[Data_Quality_Status]]="CHECK","",IFERROR(tblCountriesClean[[#This Row],[GDP_USD]]/tblCountriesClean[[#This Row],[Population]],""))</f>
        <v>2461.8504781654519</v>
      </c>
      <c r="L136" s="40">
        <f>IF(tblCountriesClean[[#This Row],[Data_Quality_Status]]="CHECK","",IFERROR(tblCountriesClean[[#This Row],[Population]]/tblCountriesClean[[#This Row],[Area_km2]],""))</f>
        <v>21.913877365828363</v>
      </c>
      <c r="M136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37" spans="1:13">
      <c r="A137" s="31">
        <v>136</v>
      </c>
      <c r="B137" s="32" t="str">
        <f>_xlfn.XLOOKUP(tblCountriesClean[[#This Row],[Record_ID]],tblCountriesRaw[index],tblCountriesRaw[country],"Check")</f>
        <v>Paraguay</v>
      </c>
      <c r="C137" s="36" t="str" cm="1">
        <f t="array" ref="C137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PY</v>
      </c>
      <c r="D137" s="37" cm="1">
        <f t="array" ref="D137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406756</v>
      </c>
      <c r="E137" s="38" cm="1">
        <f t="array" ref="E137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595</v>
      </c>
      <c r="F137" s="36" t="str" cm="1">
        <f t="array" ref="F137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Asunción</v>
      </c>
      <c r="G137" s="37" cm="1">
        <f t="array" ref="G137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38145288940</v>
      </c>
      <c r="H137" s="37" cm="1">
        <f t="array" ref="H137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6780744</v>
      </c>
      <c r="I137" s="39" cm="1">
        <f t="array" ref="I137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0.05</v>
      </c>
      <c r="J137" s="36">
        <f>IF(tblCountriesClean[[#This Row],[Data_Quality_Status]]="CHECK","",1+COUNTIFS(tblCountriesClean[GDP_USD],"&gt;"&amp;tblCountriesClean[[#This Row],[GDP_USD]],tblCountriesClean[Data_Quality_Status],"&lt;&gt;CHECK"))</f>
        <v>96</v>
      </c>
      <c r="K137" s="40">
        <f>IF(tblCountriesClean[[#This Row],[Data_Quality_Status]]="CHECK","",IFERROR(tblCountriesClean[[#This Row],[GDP_USD]]/tblCountriesClean[[#This Row],[Population]],""))</f>
        <v>5625.5314962487892</v>
      </c>
      <c r="L137" s="40">
        <f>IF(tblCountriesClean[[#This Row],[Data_Quality_Status]]="CHECK","",IFERROR(tblCountriesClean[[#This Row],[Population]]/tblCountriesClean[[#This Row],[Area_km2]],""))</f>
        <v>16.670298655705139</v>
      </c>
      <c r="M137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38" spans="1:13">
      <c r="A138" s="31">
        <v>137</v>
      </c>
      <c r="B138" s="32" t="str">
        <f>_xlfn.XLOOKUP(tblCountriesClean[[#This Row],[Record_ID]],tblCountriesRaw[index],tblCountriesRaw[country],"Check")</f>
        <v>Peru</v>
      </c>
      <c r="C138" s="36" t="str" cm="1">
        <f t="array" ref="C138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PE</v>
      </c>
      <c r="D138" s="37" cm="1">
        <f t="array" ref="D138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1285216</v>
      </c>
      <c r="E138" s="38" cm="1">
        <f t="array" ref="E138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51</v>
      </c>
      <c r="F138" s="36" t="str" cm="1">
        <f t="array" ref="F138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Lima</v>
      </c>
      <c r="G138" s="37" cm="1">
        <f t="array" ref="G138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226848050820</v>
      </c>
      <c r="H138" s="37" cm="1">
        <f t="array" ref="H138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34049588</v>
      </c>
      <c r="I138" s="39" cm="1">
        <f t="array" ref="I138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0.03</v>
      </c>
      <c r="J138" s="36">
        <f>IF(tblCountriesClean[[#This Row],[Data_Quality_Status]]="CHECK","",1+COUNTIFS(tblCountriesClean[GDP_USD],"&gt;"&amp;tblCountriesClean[[#This Row],[GDP_USD]],tblCountriesClean[Data_Quality_Status],"&lt;&gt;CHECK"))</f>
        <v>50</v>
      </c>
      <c r="K138" s="40">
        <f>IF(tblCountriesClean[[#This Row],[Data_Quality_Status]]="CHECK","",IFERROR(tblCountriesClean[[#This Row],[GDP_USD]]/tblCountriesClean[[#This Row],[Population]],""))</f>
        <v>6662.2847483499654</v>
      </c>
      <c r="L138" s="40">
        <f>IF(tblCountriesClean[[#This Row],[Data_Quality_Status]]="CHECK","",IFERROR(tblCountriesClean[[#This Row],[Population]]/tblCountriesClean[[#This Row],[Area_km2]],""))</f>
        <v>26.493280506934244</v>
      </c>
      <c r="M138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39" spans="1:13">
      <c r="A139" s="31">
        <v>138</v>
      </c>
      <c r="B139" s="32" t="str">
        <f>_xlfn.XLOOKUP(tblCountriesClean[[#This Row],[Record_ID]],tblCountriesRaw[index],tblCountriesRaw[country],"Check")</f>
        <v>Philippines</v>
      </c>
      <c r="C139" s="36" t="str" cm="1">
        <f t="array" ref="C139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PH</v>
      </c>
      <c r="D139" s="37" cm="1">
        <f t="array" ref="D139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343448</v>
      </c>
      <c r="E139" s="38" cm="1">
        <f t="array" ref="E139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63</v>
      </c>
      <c r="F139" s="36" t="str" cm="1">
        <f t="array" ref="F139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Manila</v>
      </c>
      <c r="G139" s="37" cm="1">
        <f t="array" ref="G139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376795508680</v>
      </c>
      <c r="H139" s="37" cm="1">
        <f t="array" ref="H139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115559009</v>
      </c>
      <c r="I139" s="39" cm="1">
        <f t="array" ref="I139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0.02</v>
      </c>
      <c r="J139" s="36">
        <f>IF(tblCountriesClean[[#This Row],[Data_Quality_Status]]="CHECK","",1+COUNTIFS(tblCountriesClean[GDP_USD],"&gt;"&amp;tblCountriesClean[[#This Row],[GDP_USD]],tblCountriesClean[Data_Quality_Status],"&lt;&gt;CHECK"))</f>
        <v>34</v>
      </c>
      <c r="K139" s="40">
        <f>IF(tblCountriesClean[[#This Row],[Data_Quality_Status]]="CHECK","",IFERROR(tblCountriesClean[[#This Row],[GDP_USD]]/tblCountriesClean[[#This Row],[Population]],""))</f>
        <v>3260.6329176810436</v>
      </c>
      <c r="L139" s="40">
        <f>IF(tblCountriesClean[[#This Row],[Data_Quality_Status]]="CHECK","",IFERROR(tblCountriesClean[[#This Row],[Population]]/tblCountriesClean[[#This Row],[Area_km2]],""))</f>
        <v>336.46726433113599</v>
      </c>
      <c r="M139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40" spans="1:13">
      <c r="A140" s="31">
        <v>139</v>
      </c>
      <c r="B140" s="32" t="str">
        <f>_xlfn.XLOOKUP(tblCountriesClean[[#This Row],[Record_ID]],tblCountriesRaw[index],tblCountriesRaw[country],"Check")</f>
        <v>Poland</v>
      </c>
      <c r="C140" s="36" t="str" cm="1">
        <f t="array" ref="C140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PL</v>
      </c>
      <c r="D140" s="37" cm="1">
        <f t="array" ref="D140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312683</v>
      </c>
      <c r="E140" s="38" cm="1">
        <f t="array" ref="E140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48</v>
      </c>
      <c r="F140" s="36" t="str" cm="1">
        <f t="array" ref="F140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Warsaw</v>
      </c>
      <c r="G140" s="37" cm="1">
        <f t="array" ref="G140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592164400688</v>
      </c>
      <c r="H140" s="37" cm="1">
        <f t="array" ref="H140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37561599</v>
      </c>
      <c r="I140" s="39" cm="1">
        <f t="array" ref="I140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0.03</v>
      </c>
      <c r="J140" s="36">
        <f>IF(tblCountriesClean[[#This Row],[Data_Quality_Status]]="CHECK","",1+COUNTIFS(tblCountriesClean[GDP_USD],"&gt;"&amp;tblCountriesClean[[#This Row],[GDP_USD]],tblCountriesClean[Data_Quality_Status],"&lt;&gt;CHECK"))</f>
        <v>21</v>
      </c>
      <c r="K140" s="40">
        <f>IF(tblCountriesClean[[#This Row],[Data_Quality_Status]]="CHECK","",IFERROR(tblCountriesClean[[#This Row],[GDP_USD]]/tblCountriesClean[[#This Row],[Population]],""))</f>
        <v>15765.154212098372</v>
      </c>
      <c r="L140" s="40">
        <f>IF(tblCountriesClean[[#This Row],[Data_Quality_Status]]="CHECK","",IFERROR(tblCountriesClean[[#This Row],[Population]]/tblCountriesClean[[#This Row],[Area_km2]],""))</f>
        <v>120.12677056315822</v>
      </c>
      <c r="M140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41" spans="1:13">
      <c r="A141" s="31">
        <v>140</v>
      </c>
      <c r="B141" s="32" t="str">
        <f>_xlfn.XLOOKUP(tblCountriesClean[[#This Row],[Record_ID]],tblCountriesRaw[index],tblCountriesRaw[country],"Check")</f>
        <v>Portugal</v>
      </c>
      <c r="C141" s="36" t="str" cm="1">
        <f t="array" ref="C141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PT</v>
      </c>
      <c r="D141" s="37" cm="1">
        <f t="array" ref="D141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92225</v>
      </c>
      <c r="E141" s="38" cm="1">
        <f t="array" ref="E141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351</v>
      </c>
      <c r="F141" s="36" t="str" cm="1">
        <f t="array" ref="F141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Lisbon</v>
      </c>
      <c r="G141" s="37" cm="1">
        <f t="array" ref="G141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237686075635</v>
      </c>
      <c r="H141" s="37" cm="1">
        <f t="array" ref="H141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10379007</v>
      </c>
      <c r="I141" s="39" cm="1">
        <f t="array" ref="I141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0.06</v>
      </c>
      <c r="J141" s="36">
        <f>IF(tblCountriesClean[[#This Row],[Data_Quality_Status]]="CHECK","",1+COUNTIFS(tblCountriesClean[GDP_USD],"&gt;"&amp;tblCountriesClean[[#This Row],[GDP_USD]],tblCountriesClean[Data_Quality_Status],"&lt;&gt;CHECK"))</f>
        <v>48</v>
      </c>
      <c r="K141" s="40">
        <f>IF(tblCountriesClean[[#This Row],[Data_Quality_Status]]="CHECK","",IFERROR(tblCountriesClean[[#This Row],[GDP_USD]]/tblCountriesClean[[#This Row],[Population]],""))</f>
        <v>22900.656646151216</v>
      </c>
      <c r="L141" s="40">
        <f>IF(tblCountriesClean[[#This Row],[Data_Quality_Status]]="CHECK","",IFERROR(tblCountriesClean[[#This Row],[Population]]/tblCountriesClean[[#This Row],[Area_km2]],""))</f>
        <v>112.54005963675793</v>
      </c>
      <c r="M141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42" spans="1:13">
      <c r="A142" s="31">
        <v>141</v>
      </c>
      <c r="B142" s="32" t="str">
        <f>_xlfn.XLOOKUP(tblCountriesClean[[#This Row],[Record_ID]],tblCountriesRaw[index],tblCountriesRaw[country],"Check")</f>
        <v>Qatar</v>
      </c>
      <c r="C142" s="36" t="str" cm="1">
        <f t="array" ref="C142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QA</v>
      </c>
      <c r="D142" s="37" cm="1">
        <f t="array" ref="D142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11437</v>
      </c>
      <c r="E142" s="38" cm="1">
        <f t="array" ref="E142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974</v>
      </c>
      <c r="F142" s="36" t="str" cm="1">
        <f t="array" ref="F142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Doha</v>
      </c>
      <c r="G142" s="37" cm="1">
        <f t="array" ref="G142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183466208791</v>
      </c>
      <c r="H142" s="37" cm="1">
        <f t="array" ref="H142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2695122</v>
      </c>
      <c r="I142" s="39" cm="1">
        <f t="array" ref="I142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0.06</v>
      </c>
      <c r="J142" s="36">
        <f>IF(tblCountriesClean[[#This Row],[Data_Quality_Status]]="CHECK","",1+COUNTIFS(tblCountriesClean[GDP_USD],"&gt;"&amp;tblCountriesClean[[#This Row],[GDP_USD]],tblCountriesClean[Data_Quality_Status],"&lt;&gt;CHECK"))</f>
        <v>53</v>
      </c>
      <c r="K142" s="40">
        <f>IF(tblCountriesClean[[#This Row],[Data_Quality_Status]]="CHECK","",IFERROR(tblCountriesClean[[#This Row],[GDP_USD]]/tblCountriesClean[[#This Row],[Population]],""))</f>
        <v>68073.433703928808</v>
      </c>
      <c r="L142" s="40">
        <f>IF(tblCountriesClean[[#This Row],[Data_Quality_Status]]="CHECK","",IFERROR(tblCountriesClean[[#This Row],[Population]]/tblCountriesClean[[#This Row],[Area_km2]],""))</f>
        <v>235.64938357961003</v>
      </c>
      <c r="M142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43" spans="1:13">
      <c r="A143" s="31">
        <v>142</v>
      </c>
      <c r="B143" s="32" t="str">
        <f>_xlfn.XLOOKUP(tblCountriesClean[[#This Row],[Record_ID]],tblCountriesRaw[index],tblCountriesRaw[country],"Check")</f>
        <v>Romania</v>
      </c>
      <c r="C143" s="36" t="str" cm="1">
        <f t="array" ref="C143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RO</v>
      </c>
      <c r="D143" s="37" cm="1">
        <f t="array" ref="D143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238397</v>
      </c>
      <c r="E143" s="38" cm="1">
        <f t="array" ref="E143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40</v>
      </c>
      <c r="F143" s="36" t="str" cm="1">
        <f t="array" ref="F143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Bucharest</v>
      </c>
      <c r="G143" s="37" cm="1">
        <f t="array" ref="G143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250077444017</v>
      </c>
      <c r="H143" s="37" cm="1">
        <f t="array" ref="H143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18956666</v>
      </c>
      <c r="I143" s="39" cm="1">
        <f t="array" ref="I143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0.06</v>
      </c>
      <c r="J143" s="36">
        <f>IF(tblCountriesClean[[#This Row],[Data_Quality_Status]]="CHECK","",1+COUNTIFS(tblCountriesClean[GDP_USD],"&gt;"&amp;tblCountriesClean[[#This Row],[GDP_USD]],tblCountriesClean[Data_Quality_Status],"&lt;&gt;CHECK"))</f>
        <v>46</v>
      </c>
      <c r="K143" s="40">
        <f>IF(tblCountriesClean[[#This Row],[Data_Quality_Status]]="CHECK","",IFERROR(tblCountriesClean[[#This Row],[GDP_USD]]/tblCountriesClean[[#This Row],[Population]],""))</f>
        <v>13192.058351241722</v>
      </c>
      <c r="L143" s="40">
        <f>IF(tblCountriesClean[[#This Row],[Data_Quality_Status]]="CHECK","",IFERROR(tblCountriesClean[[#This Row],[Population]]/tblCountriesClean[[#This Row],[Area_km2]],""))</f>
        <v>79.517217079073987</v>
      </c>
      <c r="M143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44" spans="1:13">
      <c r="A144" s="31">
        <v>143</v>
      </c>
      <c r="B144" s="32" t="str">
        <f>_xlfn.XLOOKUP(tblCountriesClean[[#This Row],[Record_ID]],tblCountriesRaw[index],tblCountriesRaw[country],"Check")</f>
        <v>Russia</v>
      </c>
      <c r="C144" s="36" t="str" cm="1">
        <f t="array" ref="C144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RU</v>
      </c>
      <c r="D144" s="37" cm="1">
        <f t="array" ref="D144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17075400</v>
      </c>
      <c r="E144" s="38" cm="1">
        <f t="array" ref="E144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7</v>
      </c>
      <c r="F144" s="36" t="str" cm="1">
        <f t="array" ref="F144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Moscow</v>
      </c>
      <c r="G144" s="37" cm="1">
        <f t="array" ref="G144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1699876578871</v>
      </c>
      <c r="H144" s="37" cm="1">
        <f t="array" ref="H144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143555736</v>
      </c>
      <c r="I144" s="39" cm="1">
        <f t="array" ref="I144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0.05</v>
      </c>
      <c r="J144" s="36">
        <f>IF(tblCountriesClean[[#This Row],[Data_Quality_Status]]="CHECK","",1+COUNTIFS(tblCountriesClean[GDP_USD],"&gt;"&amp;tblCountriesClean[[#This Row],[GDP_USD]],tblCountriesClean[Data_Quality_Status],"&lt;&gt;CHECK"))</f>
        <v>12</v>
      </c>
      <c r="K144" s="40">
        <f>IF(tblCountriesClean[[#This Row],[Data_Quality_Status]]="CHECK","",IFERROR(tblCountriesClean[[#This Row],[GDP_USD]]/tblCountriesClean[[#This Row],[Population]],""))</f>
        <v>11841.230634427593</v>
      </c>
      <c r="L144" s="40">
        <f>IF(tblCountriesClean[[#This Row],[Data_Quality_Status]]="CHECK","",IFERROR(tblCountriesClean[[#This Row],[Population]]/tblCountriesClean[[#This Row],[Area_km2]],""))</f>
        <v>8.4071668013633651</v>
      </c>
      <c r="M144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45" spans="1:13">
      <c r="A145" s="31">
        <v>144</v>
      </c>
      <c r="B145" s="32" t="str">
        <f>_xlfn.XLOOKUP(tblCountriesClean[[#This Row],[Record_ID]],tblCountriesRaw[index],tblCountriesRaw[country],"Check")</f>
        <v>Rwanda</v>
      </c>
      <c r="C145" s="36" t="str" cm="1">
        <f t="array" ref="C145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RW</v>
      </c>
      <c r="D145" s="37" cm="1">
        <f t="array" ref="D145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26338</v>
      </c>
      <c r="E145" s="38" cm="1">
        <f t="array" ref="E145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250</v>
      </c>
      <c r="F145" s="36" t="str" cm="1">
        <f t="array" ref="F145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Kigali</v>
      </c>
      <c r="G145" s="37" cm="1">
        <f t="array" ref="G145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10122472590</v>
      </c>
      <c r="H145" s="37" cm="1">
        <f t="array" ref="H145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13776698</v>
      </c>
      <c r="I145" s="39" cm="1">
        <f t="array" ref="I145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0.01</v>
      </c>
      <c r="J145" s="36">
        <f>IF(tblCountriesClean[[#This Row],[Data_Quality_Status]]="CHECK","",1+COUNTIFS(tblCountriesClean[GDP_USD],"&gt;"&amp;tblCountriesClean[[#This Row],[GDP_USD]],tblCountriesClean[Data_Quality_Status],"&lt;&gt;CHECK"))</f>
        <v>143</v>
      </c>
      <c r="K145" s="40">
        <f>IF(tblCountriesClean[[#This Row],[Data_Quality_Status]]="CHECK","",IFERROR(tblCountriesClean[[#This Row],[GDP_USD]]/tblCountriesClean[[#This Row],[Population]],""))</f>
        <v>734.75317452701654</v>
      </c>
      <c r="L145" s="40">
        <f>IF(tblCountriesClean[[#This Row],[Data_Quality_Status]]="CHECK","",IFERROR(tblCountriesClean[[#This Row],[Population]]/tblCountriesClean[[#This Row],[Area_km2]],""))</f>
        <v>523.07305034550836</v>
      </c>
      <c r="M145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46" spans="1:13">
      <c r="A146" s="31">
        <v>145</v>
      </c>
      <c r="B146" s="32" t="str">
        <f>_xlfn.XLOOKUP(tblCountriesClean[[#This Row],[Record_ID]],tblCountriesRaw[index],tblCountriesRaw[country],"Check")</f>
        <v>Saint Kitts and Nevis</v>
      </c>
      <c r="C146" s="36" t="str" cm="1">
        <f t="array" ref="C146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KN</v>
      </c>
      <c r="D146" s="37" cm="1">
        <f t="array" ref="D146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269</v>
      </c>
      <c r="E146" s="38" cm="1">
        <f t="array" ref="E146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1869</v>
      </c>
      <c r="F146" s="36" t="str" cm="1">
        <f t="array" ref="F146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Basseterre</v>
      </c>
      <c r="G146" s="37" cm="1">
        <f t="array" ref="G146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1050992593</v>
      </c>
      <c r="H146" s="37" cm="1">
        <f t="array" ref="H146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47657</v>
      </c>
      <c r="I146" s="39" cm="1">
        <f t="array" ref="I146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0.01</v>
      </c>
      <c r="J146" s="36">
        <f>IF(tblCountriesClean[[#This Row],[Data_Quality_Status]]="CHECK","",1+COUNTIFS(tblCountriesClean[GDP_USD],"&gt;"&amp;tblCountriesClean[[#This Row],[GDP_USD]],tblCountriesClean[Data_Quality_Status],"&lt;&gt;CHECK"))</f>
        <v>181</v>
      </c>
      <c r="K146" s="40">
        <f>IF(tblCountriesClean[[#This Row],[Data_Quality_Status]]="CHECK","",IFERROR(tblCountriesClean[[#This Row],[GDP_USD]]/tblCountriesClean[[#This Row],[Population]],""))</f>
        <v>22053.26799840527</v>
      </c>
      <c r="L146" s="40">
        <f>IF(tblCountriesClean[[#This Row],[Data_Quality_Status]]="CHECK","",IFERROR(tblCountriesClean[[#This Row],[Population]]/tblCountriesClean[[#This Row],[Area_km2]],""))</f>
        <v>177.1635687732342</v>
      </c>
      <c r="M146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47" spans="1:13">
      <c r="A147" s="31">
        <v>146</v>
      </c>
      <c r="B147" s="32" t="str">
        <f>_xlfn.XLOOKUP(tblCountriesClean[[#This Row],[Record_ID]],tblCountriesRaw[index],tblCountriesRaw[country],"Check")</f>
        <v>Saint Lucia</v>
      </c>
      <c r="C147" s="36" t="str" cm="1">
        <f t="array" ref="C147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LC</v>
      </c>
      <c r="D147" s="37" cm="1">
        <f t="array" ref="D147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617</v>
      </c>
      <c r="E147" s="38" cm="1">
        <f t="array" ref="E147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1758</v>
      </c>
      <c r="F147" s="36" t="str" cm="1">
        <f t="array" ref="F147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Castries</v>
      </c>
      <c r="G147" s="37" cm="1">
        <f t="array" ref="G147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2122450630</v>
      </c>
      <c r="H147" s="37" cm="1">
        <f t="array" ref="H147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179857</v>
      </c>
      <c r="I147" s="39" cm="1">
        <f t="array" ref="I147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0.21</v>
      </c>
      <c r="J147" s="36">
        <f>IF(tblCountriesClean[[#This Row],[Data_Quality_Status]]="CHECK","",1+COUNTIFS(tblCountriesClean[GDP_USD],"&gt;"&amp;tblCountriesClean[[#This Row],[GDP_USD]],tblCountriesClean[Data_Quality_Status],"&lt;&gt;CHECK"))</f>
        <v>168</v>
      </c>
      <c r="K147" s="40">
        <f>IF(tblCountriesClean[[#This Row],[Data_Quality_Status]]="CHECK","",IFERROR(tblCountriesClean[[#This Row],[GDP_USD]]/tblCountriesClean[[#This Row],[Population]],""))</f>
        <v>11800.76744302418</v>
      </c>
      <c r="L147" s="40">
        <f>IF(tblCountriesClean[[#This Row],[Data_Quality_Status]]="CHECK","",IFERROR(tblCountriesClean[[#This Row],[Population]]/tblCountriesClean[[#This Row],[Area_km2]],""))</f>
        <v>291.50243111831441</v>
      </c>
      <c r="M147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48" spans="1:13" ht="31.2">
      <c r="A148" s="31">
        <v>147</v>
      </c>
      <c r="B148" s="32" t="str">
        <f>_xlfn.XLOOKUP(tblCountriesClean[[#This Row],[Record_ID]],tblCountriesRaw[index],tblCountriesRaw[country],"Check")</f>
        <v>Saint Vincent and the Grenadines</v>
      </c>
      <c r="C148" s="36" t="str" cm="1">
        <f t="array" ref="C148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VC</v>
      </c>
      <c r="D148" s="37" cm="1">
        <f t="array" ref="D148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389</v>
      </c>
      <c r="E148" s="38" cm="1">
        <f t="array" ref="E148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1784</v>
      </c>
      <c r="F148" s="36" t="str" cm="1">
        <f t="array" ref="F148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Kingstown</v>
      </c>
      <c r="G148" s="37" cm="1">
        <f t="array" ref="G148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825385185</v>
      </c>
      <c r="H148" s="37" cm="1">
        <f t="array" ref="H148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103948</v>
      </c>
      <c r="I148" s="39" cm="1">
        <f t="array" ref="I148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0.19</v>
      </c>
      <c r="J148" s="36">
        <f>IF(tblCountriesClean[[#This Row],[Data_Quality_Status]]="CHECK","",1+COUNTIFS(tblCountriesClean[GDP_USD],"&gt;"&amp;tblCountriesClean[[#This Row],[GDP_USD]],tblCountriesClean[Data_Quality_Status],"&lt;&gt;CHECK"))</f>
        <v>184</v>
      </c>
      <c r="K148" s="40">
        <f>IF(tblCountriesClean[[#This Row],[Data_Quality_Status]]="CHECK","",IFERROR(tblCountriesClean[[#This Row],[GDP_USD]]/tblCountriesClean[[#This Row],[Population]],""))</f>
        <v>7940.36619271174</v>
      </c>
      <c r="L148" s="40">
        <f>IF(tblCountriesClean[[#This Row],[Data_Quality_Status]]="CHECK","",IFERROR(tblCountriesClean[[#This Row],[Population]]/tblCountriesClean[[#This Row],[Area_km2]],""))</f>
        <v>267.2185089974293</v>
      </c>
      <c r="M148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49" spans="1:13">
      <c r="A149" s="31">
        <v>148</v>
      </c>
      <c r="B149" s="32" t="str">
        <f>_xlfn.XLOOKUP(tblCountriesClean[[#This Row],[Record_ID]],tblCountriesRaw[index],tblCountriesRaw[country],"Check")</f>
        <v>Samoa</v>
      </c>
      <c r="C149" s="36" t="str" cm="1">
        <f t="array" ref="C149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WS</v>
      </c>
      <c r="D149" s="37" cm="1">
        <f t="array" ref="D149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2842</v>
      </c>
      <c r="E149" s="38" cm="1">
        <f t="array" ref="E149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685</v>
      </c>
      <c r="F149" s="36" t="str" cm="1">
        <f t="array" ref="F149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Apia</v>
      </c>
      <c r="G149" s="37" cm="1">
        <f t="array" ref="G149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850655017</v>
      </c>
      <c r="H149" s="37" cm="1">
        <f t="array" ref="H149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222382</v>
      </c>
      <c r="I149" s="39" cm="1">
        <f t="array" ref="I149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0.08</v>
      </c>
      <c r="J149" s="36">
        <f>IF(tblCountriesClean[[#This Row],[Data_Quality_Status]]="CHECK","",1+COUNTIFS(tblCountriesClean[GDP_USD],"&gt;"&amp;tblCountriesClean[[#This Row],[GDP_USD]],tblCountriesClean[Data_Quality_Status],"&lt;&gt;CHECK"))</f>
        <v>183</v>
      </c>
      <c r="K149" s="40">
        <f>IF(tblCountriesClean[[#This Row],[Data_Quality_Status]]="CHECK","",IFERROR(tblCountriesClean[[#This Row],[GDP_USD]]/tblCountriesClean[[#This Row],[Population]],""))</f>
        <v>3825.1972596702972</v>
      </c>
      <c r="L149" s="40">
        <f>IF(tblCountriesClean[[#This Row],[Data_Quality_Status]]="CHECK","",IFERROR(tblCountriesClean[[#This Row],[Population]]/tblCountriesClean[[#This Row],[Area_km2]],""))</f>
        <v>78.248416608022524</v>
      </c>
      <c r="M149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50" spans="1:13">
      <c r="A150" s="31">
        <v>149</v>
      </c>
      <c r="B150" s="32" t="str">
        <f>_xlfn.XLOOKUP(tblCountriesClean[[#This Row],[Record_ID]],tblCountriesRaw[index],tblCountriesRaw[country],"Check")</f>
        <v>San Marino</v>
      </c>
      <c r="C150" s="36" t="str" cm="1">
        <f t="array" ref="C150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SM</v>
      </c>
      <c r="D150" s="37" cm="1">
        <f t="array" ref="D150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61</v>
      </c>
      <c r="E150" s="38" cm="1">
        <f t="array" ref="E150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378</v>
      </c>
      <c r="F150" s="36" t="str" cm="1">
        <f t="array" ref="F150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City of San Marino</v>
      </c>
      <c r="G150" s="37" cm="1">
        <f t="array" ref="G150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1637931034</v>
      </c>
      <c r="H150" s="37" cm="1">
        <f t="array" ref="H150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33660</v>
      </c>
      <c r="I150" s="39" cm="1">
        <f t="array" ref="I150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0.08</v>
      </c>
      <c r="J150" s="36">
        <f>IF(tblCountriesClean[[#This Row],[Data_Quality_Status]]="CHECK","",1+COUNTIFS(tblCountriesClean[GDP_USD],"&gt;"&amp;tblCountriesClean[[#This Row],[GDP_USD]],tblCountriesClean[Data_Quality_Status],"&lt;&gt;CHECK"))</f>
        <v>176</v>
      </c>
      <c r="K150" s="40">
        <f>IF(tblCountriesClean[[#This Row],[Data_Quality_Status]]="CHECK","",IFERROR(tblCountriesClean[[#This Row],[GDP_USD]]/tblCountriesClean[[#This Row],[Population]],""))</f>
        <v>48661.052703505644</v>
      </c>
      <c r="L150" s="40">
        <f>IF(tblCountriesClean[[#This Row],[Data_Quality_Status]]="CHECK","",IFERROR(tblCountriesClean[[#This Row],[Population]]/tblCountriesClean[[#This Row],[Area_km2]],""))</f>
        <v>551.80327868852464</v>
      </c>
      <c r="M150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51" spans="1:13" ht="31.2">
      <c r="A151" s="31">
        <v>150</v>
      </c>
      <c r="B151" s="32" t="str">
        <f>_xlfn.XLOOKUP(tblCountriesClean[[#This Row],[Record_ID]],tblCountriesRaw[index],tblCountriesRaw[country],"Check")</f>
        <v>São Tomé and Príncipe</v>
      </c>
      <c r="C151" s="36" t="str" cm="1">
        <f t="array" ref="C151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ST</v>
      </c>
      <c r="D151" s="37" cm="1">
        <f t="array" ref="D151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1001</v>
      </c>
      <c r="E151" s="38" cm="1">
        <f t="array" ref="E151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239</v>
      </c>
      <c r="F151" s="36" t="str" cm="1">
        <f t="array" ref="F151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São Tomé</v>
      </c>
      <c r="G151" s="37" cm="1">
        <f t="array" ref="G151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429016605</v>
      </c>
      <c r="H151" s="37" cm="1">
        <f t="array" ref="H151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227380</v>
      </c>
      <c r="I151" s="39" cm="1">
        <f t="array" ref="I151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0.08</v>
      </c>
      <c r="J151" s="36">
        <f>IF(tblCountriesClean[[#This Row],[Data_Quality_Status]]="CHECK","",1+COUNTIFS(tblCountriesClean[GDP_USD],"&gt;"&amp;tblCountriesClean[[#This Row],[GDP_USD]],tblCountriesClean[Data_Quality_Status],"&lt;&gt;CHECK"))</f>
        <v>187</v>
      </c>
      <c r="K151" s="40">
        <f>IF(tblCountriesClean[[#This Row],[Data_Quality_Status]]="CHECK","",IFERROR(tblCountriesClean[[#This Row],[GDP_USD]]/tblCountriesClean[[#This Row],[Population]],""))</f>
        <v>1886.7825006596886</v>
      </c>
      <c r="L151" s="40">
        <f>IF(tblCountriesClean[[#This Row],[Data_Quality_Status]]="CHECK","",IFERROR(tblCountriesClean[[#This Row],[Population]]/tblCountriesClean[[#This Row],[Area_km2]],""))</f>
        <v>227.15284715284716</v>
      </c>
      <c r="M151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52" spans="1:13">
      <c r="A152" s="31">
        <v>151</v>
      </c>
      <c r="B152" s="32" t="str">
        <f>_xlfn.XLOOKUP(tblCountriesClean[[#This Row],[Record_ID]],tblCountriesRaw[index],tblCountriesRaw[country],"Check")</f>
        <v>Saudi Arabia</v>
      </c>
      <c r="C152" s="36" t="str" cm="1">
        <f t="array" ref="C152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SA</v>
      </c>
      <c r="D152" s="37" cm="1">
        <f t="array" ref="D152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2250000</v>
      </c>
      <c r="E152" s="38" cm="1">
        <f t="array" ref="E152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966</v>
      </c>
      <c r="F152" s="36" t="str" cm="1">
        <f t="array" ref="F152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Riyadh</v>
      </c>
      <c r="G152" s="37" cm="1">
        <f t="array" ref="G152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792966838162</v>
      </c>
      <c r="H152" s="37" cm="1">
        <f t="array" ref="H152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36408820</v>
      </c>
      <c r="I152" s="39" cm="1">
        <f t="array" ref="I152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0.06</v>
      </c>
      <c r="J152" s="36">
        <f>IF(tblCountriesClean[[#This Row],[Data_Quality_Status]]="CHECK","",1+COUNTIFS(tblCountriesClean[GDP_USD],"&gt;"&amp;tblCountriesClean[[#This Row],[GDP_USD]],tblCountriesClean[Data_Quality_Status],"&lt;&gt;CHECK"))</f>
        <v>18</v>
      </c>
      <c r="K152" s="40">
        <f>IF(tblCountriesClean[[#This Row],[Data_Quality_Status]]="CHECK","",IFERROR(tblCountriesClean[[#This Row],[GDP_USD]]/tblCountriesClean[[#This Row],[Population]],""))</f>
        <v>21779.525899548516</v>
      </c>
      <c r="L152" s="40">
        <f>IF(tblCountriesClean[[#This Row],[Data_Quality_Status]]="CHECK","",IFERROR(tblCountriesClean[[#This Row],[Population]]/tblCountriesClean[[#This Row],[Area_km2]],""))</f>
        <v>16.181697777777778</v>
      </c>
      <c r="M152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53" spans="1:13">
      <c r="A153" s="31">
        <v>152</v>
      </c>
      <c r="B153" s="32" t="str">
        <f>_xlfn.XLOOKUP(tblCountriesClean[[#This Row],[Record_ID]],tblCountriesRaw[index],tblCountriesRaw[country],"Check")</f>
        <v>Senegal</v>
      </c>
      <c r="C153" s="36" t="str" cm="1">
        <f t="array" ref="C153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SN</v>
      </c>
      <c r="D153" s="37" cm="1">
        <f t="array" ref="D153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196722</v>
      </c>
      <c r="E153" s="38" cm="1">
        <f t="array" ref="E153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221</v>
      </c>
      <c r="F153" s="36" t="str" cm="1">
        <f t="array" ref="F153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Dakar</v>
      </c>
      <c r="G153" s="37" cm="1">
        <f t="array" ref="G153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23578084052</v>
      </c>
      <c r="H153" s="37" cm="1">
        <f t="array" ref="H153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17316449</v>
      </c>
      <c r="I153" s="39" cm="1">
        <f t="array" ref="I153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7.0000000000000007E-2</v>
      </c>
      <c r="J153" s="36">
        <f>IF(tblCountriesClean[[#This Row],[Data_Quality_Status]]="CHECK","",1+COUNTIFS(tblCountriesClean[GDP_USD],"&gt;"&amp;tblCountriesClean[[#This Row],[GDP_USD]],tblCountriesClean[Data_Quality_Status],"&lt;&gt;CHECK"))</f>
        <v>110</v>
      </c>
      <c r="K153" s="40">
        <f>IF(tblCountriesClean[[#This Row],[Data_Quality_Status]]="CHECK","",IFERROR(tblCountriesClean[[#This Row],[GDP_USD]]/tblCountriesClean[[#This Row],[Population]],""))</f>
        <v>1361.6004096451877</v>
      </c>
      <c r="L153" s="40">
        <f>IF(tblCountriesClean[[#This Row],[Data_Quality_Status]]="CHECK","",IFERROR(tblCountriesClean[[#This Row],[Population]]/tblCountriesClean[[#This Row],[Area_km2]],""))</f>
        <v>88.024974329256509</v>
      </c>
      <c r="M153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54" spans="1:13">
      <c r="A154" s="31">
        <v>153</v>
      </c>
      <c r="B154" s="32" t="str">
        <f>_xlfn.XLOOKUP(tblCountriesClean[[#This Row],[Record_ID]],tblCountriesRaw[index],tblCountriesRaw[country],"Check")</f>
        <v>Serbia</v>
      </c>
      <c r="C154" s="36" t="str" cm="1">
        <f t="array" ref="C154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RS</v>
      </c>
      <c r="D154" s="37" cm="1">
        <f t="array" ref="D154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88499</v>
      </c>
      <c r="E154" s="38" cm="1">
        <f t="array" ref="E154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381</v>
      </c>
      <c r="F154" s="36" t="str" cm="1">
        <f t="array" ref="F154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Belgrade</v>
      </c>
      <c r="G154" s="37" cm="1">
        <f t="array" ref="G154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51409167351</v>
      </c>
      <c r="H154" s="37" cm="1">
        <f t="array" ref="H154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6760087</v>
      </c>
      <c r="I154" s="39" cm="1">
        <f t="array" ref="I154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0.13</v>
      </c>
      <c r="J154" s="36">
        <f>IF(tblCountriesClean[[#This Row],[Data_Quality_Status]]="CHECK","",1+COUNTIFS(tblCountriesClean[GDP_USD],"&gt;"&amp;tblCountriesClean[[#This Row],[GDP_USD]],tblCountriesClean[Data_Quality_Status],"&lt;&gt;CHECK"))</f>
        <v>86</v>
      </c>
      <c r="K154" s="40">
        <f>IF(tblCountriesClean[[#This Row],[Data_Quality_Status]]="CHECK","",IFERROR(tblCountriesClean[[#This Row],[GDP_USD]]/tblCountriesClean[[#This Row],[Population]],""))</f>
        <v>7604.8085403338746</v>
      </c>
      <c r="L154" s="40">
        <f>IF(tblCountriesClean[[#This Row],[Data_Quality_Status]]="CHECK","",IFERROR(tblCountriesClean[[#This Row],[Population]]/tblCountriesClean[[#This Row],[Area_km2]],""))</f>
        <v>76.386026960756624</v>
      </c>
      <c r="M154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55" spans="1:13">
      <c r="A155" s="31">
        <v>154</v>
      </c>
      <c r="B155" s="32" t="str">
        <f>_xlfn.XLOOKUP(tblCountriesClean[[#This Row],[Record_ID]],tblCountriesRaw[index],tblCountriesRaw[country],"Check")</f>
        <v>Seychelles</v>
      </c>
      <c r="C155" s="36" t="str" cm="1">
        <f t="array" ref="C155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SC</v>
      </c>
      <c r="D155" s="37" cm="1">
        <f t="array" ref="D155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459</v>
      </c>
      <c r="E155" s="38" cm="1">
        <f t="array" ref="E155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248</v>
      </c>
      <c r="F155" s="36" t="str" cm="1">
        <f t="array" ref="F155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Victoria, Seychelles</v>
      </c>
      <c r="G155" s="37" cm="1">
        <f t="array" ref="G155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1698843063</v>
      </c>
      <c r="H155" s="37" cm="1">
        <f t="array" ref="H155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100060</v>
      </c>
      <c r="I155" s="39" cm="1">
        <f t="array" ref="I155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0.13</v>
      </c>
      <c r="J155" s="36">
        <f>IF(tblCountriesClean[[#This Row],[Data_Quality_Status]]="CHECK","",1+COUNTIFS(tblCountriesClean[GDP_USD],"&gt;"&amp;tblCountriesClean[[#This Row],[GDP_USD]],tblCountriesClean[Data_Quality_Status],"&lt;&gt;CHECK"))</f>
        <v>174</v>
      </c>
      <c r="K155" s="40">
        <f>IF(tblCountriesClean[[#This Row],[Data_Quality_Status]]="CHECK","",IFERROR(tblCountriesClean[[#This Row],[GDP_USD]]/tblCountriesClean[[#This Row],[Population]],""))</f>
        <v>16978.243683789726</v>
      </c>
      <c r="L155" s="40">
        <f>IF(tblCountriesClean[[#This Row],[Data_Quality_Status]]="CHECK","",IFERROR(tblCountriesClean[[#This Row],[Population]]/tblCountriesClean[[#This Row],[Area_km2]],""))</f>
        <v>217.99564270152504</v>
      </c>
      <c r="M155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56" spans="1:13">
      <c r="A156" s="31">
        <v>155</v>
      </c>
      <c r="B156" s="32" t="str">
        <f>_xlfn.XLOOKUP(tblCountriesClean[[#This Row],[Record_ID]],tblCountriesRaw[index],tblCountriesRaw[country],"Check")</f>
        <v>Sierra Leone</v>
      </c>
      <c r="C156" s="36" t="str" cm="1">
        <f t="array" ref="C156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SL</v>
      </c>
      <c r="D156" s="37" cm="1">
        <f t="array" ref="D156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71740</v>
      </c>
      <c r="E156" s="38" cm="1">
        <f t="array" ref="E156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232</v>
      </c>
      <c r="F156" s="36" t="str" cm="1">
        <f t="array" ref="F156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Freetown</v>
      </c>
      <c r="G156" s="37" cm="1">
        <f t="array" ref="G156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3941474311</v>
      </c>
      <c r="H156" s="37" cm="1">
        <f t="array" ref="H156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8605718</v>
      </c>
      <c r="I156" s="39" cm="1">
        <f t="array" ref="I156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0.13</v>
      </c>
      <c r="J156" s="36">
        <f>IF(tblCountriesClean[[#This Row],[Data_Quality_Status]]="CHECK","",1+COUNTIFS(tblCountriesClean[GDP_USD],"&gt;"&amp;tblCountriesClean[[#This Row],[GDP_USD]],tblCountriesClean[Data_Quality_Status],"&lt;&gt;CHECK"))</f>
        <v>159</v>
      </c>
      <c r="K156" s="40">
        <f>IF(tblCountriesClean[[#This Row],[Data_Quality_Status]]="CHECK","",IFERROR(tblCountriesClean[[#This Row],[GDP_USD]]/tblCountriesClean[[#This Row],[Population]],""))</f>
        <v>458.00644536574401</v>
      </c>
      <c r="L156" s="40">
        <f>IF(tblCountriesClean[[#This Row],[Data_Quality_Status]]="CHECK","",IFERROR(tblCountriesClean[[#This Row],[Population]]/tblCountriesClean[[#This Row],[Area_km2]],""))</f>
        <v>119.95703930861444</v>
      </c>
      <c r="M156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57" spans="1:13">
      <c r="A157" s="31">
        <v>156</v>
      </c>
      <c r="B157" s="32" t="str">
        <f>_xlfn.XLOOKUP(tblCountriesClean[[#This Row],[Record_ID]],tblCountriesRaw[index],tblCountriesRaw[country],"Check")</f>
        <v>Singapore</v>
      </c>
      <c r="C157" s="36" t="str" cm="1">
        <f t="array" ref="C157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SG</v>
      </c>
      <c r="D157" s="37" cm="1">
        <f t="array" ref="D157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719</v>
      </c>
      <c r="E157" s="38" cm="1">
        <f t="array" ref="E157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65</v>
      </c>
      <c r="F157" s="36" t="str" cm="1">
        <f t="array" ref="F157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Singapore</v>
      </c>
      <c r="G157" s="37" cm="1">
        <f t="array" ref="G157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372062527489</v>
      </c>
      <c r="H157" s="37" cm="1">
        <f t="array" ref="H157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5637022</v>
      </c>
      <c r="I157" s="39" cm="1">
        <f t="array" ref="I157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0.04</v>
      </c>
      <c r="J157" s="36">
        <f>IF(tblCountriesClean[[#This Row],[Data_Quality_Status]]="CHECK","",1+COUNTIFS(tblCountriesClean[GDP_USD],"&gt;"&amp;tblCountriesClean[[#This Row],[GDP_USD]],tblCountriesClean[Data_Quality_Status],"&lt;&gt;CHECK"))</f>
        <v>35</v>
      </c>
      <c r="K157" s="40">
        <f>IF(tblCountriesClean[[#This Row],[Data_Quality_Status]]="CHECK","",IFERROR(tblCountriesClean[[#This Row],[GDP_USD]]/tblCountriesClean[[#This Row],[Population]],""))</f>
        <v>66003.383965682588</v>
      </c>
      <c r="L157" s="40">
        <f>IF(tblCountriesClean[[#This Row],[Data_Quality_Status]]="CHECK","",IFERROR(tblCountriesClean[[#This Row],[Population]]/tblCountriesClean[[#This Row],[Area_km2]],""))</f>
        <v>7840.0862308762171</v>
      </c>
      <c r="M157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CORRECTED</v>
      </c>
    </row>
    <row r="158" spans="1:13">
      <c r="A158" s="31">
        <v>157</v>
      </c>
      <c r="B158" s="32" t="str">
        <f>_xlfn.XLOOKUP(tblCountriesClean[[#This Row],[Record_ID]],tblCountriesRaw[index],tblCountriesRaw[country],"Check")</f>
        <v>Slovakia</v>
      </c>
      <c r="C158" s="36" t="str" cm="1">
        <f t="array" ref="C158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SK</v>
      </c>
      <c r="D158" s="37" cm="1">
        <f t="array" ref="D158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49035</v>
      </c>
      <c r="E158" s="38" cm="1">
        <f t="array" ref="E158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421</v>
      </c>
      <c r="F158" s="36" t="str" cm="1">
        <f t="array" ref="F158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Bratislava</v>
      </c>
      <c r="G158" s="37" cm="1">
        <f t="array" ref="G158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105422304976</v>
      </c>
      <c r="H158" s="37" cm="1">
        <f t="array" ref="H158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5431752</v>
      </c>
      <c r="I158" s="39" cm="1">
        <f t="array" ref="I158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0.06</v>
      </c>
      <c r="J158" s="36">
        <f>IF(tblCountriesClean[[#This Row],[Data_Quality_Status]]="CHECK","",1+COUNTIFS(tblCountriesClean[GDP_USD],"&gt;"&amp;tblCountriesClean[[#This Row],[GDP_USD]],tblCountriesClean[Data_Quality_Status],"&lt;&gt;CHECK"))</f>
        <v>61</v>
      </c>
      <c r="K158" s="40">
        <f>IF(tblCountriesClean[[#This Row],[Data_Quality_Status]]="CHECK","",IFERROR(tblCountriesClean[[#This Row],[GDP_USD]]/tblCountriesClean[[#This Row],[Population]],""))</f>
        <v>19408.52693127374</v>
      </c>
      <c r="L158" s="40">
        <f>IF(tblCountriesClean[[#This Row],[Data_Quality_Status]]="CHECK","",IFERROR(tblCountriesClean[[#This Row],[Population]]/tblCountriesClean[[#This Row],[Area_km2]],""))</f>
        <v>110.77295809115938</v>
      </c>
      <c r="M158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59" spans="1:13">
      <c r="A159" s="31">
        <v>158</v>
      </c>
      <c r="B159" s="32" t="str">
        <f>_xlfn.XLOOKUP(tblCountriesClean[[#This Row],[Record_ID]],tblCountriesRaw[index],tblCountriesRaw[country],"Check")</f>
        <v>Slovenia</v>
      </c>
      <c r="C159" s="36" t="str" cm="1">
        <f t="array" ref="C159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SI</v>
      </c>
      <c r="D159" s="37" cm="1">
        <f t="array" ref="D159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20271</v>
      </c>
      <c r="E159" s="38" cm="1">
        <f t="array" ref="E159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386</v>
      </c>
      <c r="F159" s="36" t="str" cm="1">
        <f t="array" ref="F159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Ljubljana</v>
      </c>
      <c r="G159" s="37" cm="1">
        <f t="array" ref="G159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53742159517</v>
      </c>
      <c r="H159" s="37" cm="1">
        <f t="array" ref="H159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2108732</v>
      </c>
      <c r="I159" s="39" cm="1">
        <f t="array" ref="I159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0.04</v>
      </c>
      <c r="J159" s="36">
        <f>IF(tblCountriesClean[[#This Row],[Data_Quality_Status]]="CHECK","",1+COUNTIFS(tblCountriesClean[GDP_USD],"&gt;"&amp;tblCountriesClean[[#This Row],[GDP_USD]],tblCountriesClean[Data_Quality_Status],"&lt;&gt;CHECK"))</f>
        <v>83</v>
      </c>
      <c r="K159" s="40">
        <f>IF(tblCountriesClean[[#This Row],[Data_Quality_Status]]="CHECK","",IFERROR(tblCountriesClean[[#This Row],[GDP_USD]]/tblCountriesClean[[#This Row],[Population]],""))</f>
        <v>25485.533257426738</v>
      </c>
      <c r="L159" s="40">
        <f>IF(tblCountriesClean[[#This Row],[Data_Quality_Status]]="CHECK","",IFERROR(tblCountriesClean[[#This Row],[Population]]/tblCountriesClean[[#This Row],[Area_km2]],""))</f>
        <v>104.0270336934537</v>
      </c>
      <c r="M159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60" spans="1:13">
      <c r="A160" s="31">
        <v>159</v>
      </c>
      <c r="B160" s="32" t="str">
        <f>_xlfn.XLOOKUP(tblCountriesClean[[#This Row],[Record_ID]],tblCountriesRaw[index],tblCountriesRaw[country],"Check")</f>
        <v>Solomon Islands</v>
      </c>
      <c r="C160" s="36" t="str" cm="1">
        <f t="array" ref="C160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SB</v>
      </c>
      <c r="D160" s="37" cm="1">
        <f t="array" ref="D160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28400</v>
      </c>
      <c r="E160" s="38" cm="1">
        <f t="array" ref="E160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677</v>
      </c>
      <c r="F160" s="36" t="str" cm="1">
        <f t="array" ref="F160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Honiara</v>
      </c>
      <c r="G160" s="37" cm="1">
        <f t="array" ref="G160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1425074226</v>
      </c>
      <c r="H160" s="37" cm="1">
        <f t="array" ref="H160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724273</v>
      </c>
      <c r="I160" s="39" cm="1">
        <f t="array" ref="I160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0.01</v>
      </c>
      <c r="J160" s="36">
        <f>IF(tblCountriesClean[[#This Row],[Data_Quality_Status]]="CHECK","",1+COUNTIFS(tblCountriesClean[GDP_USD],"&gt;"&amp;tblCountriesClean[[#This Row],[GDP_USD]],tblCountriesClean[Data_Quality_Status],"&lt;&gt;CHECK"))</f>
        <v>177</v>
      </c>
      <c r="K160" s="40">
        <f>IF(tblCountriesClean[[#This Row],[Data_Quality_Status]]="CHECK","",IFERROR(tblCountriesClean[[#This Row],[GDP_USD]]/tblCountriesClean[[#This Row],[Population]],""))</f>
        <v>1967.5926425532914</v>
      </c>
      <c r="L160" s="40">
        <f>IF(tblCountriesClean[[#This Row],[Data_Quality_Status]]="CHECK","",IFERROR(tblCountriesClean[[#This Row],[Population]]/tblCountriesClean[[#This Row],[Area_km2]],""))</f>
        <v>25.502570422535211</v>
      </c>
      <c r="M160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61" spans="1:13">
      <c r="A161" s="31">
        <v>160</v>
      </c>
      <c r="B161" s="32" t="str">
        <f>_xlfn.XLOOKUP(tblCountriesClean[[#This Row],[Record_ID]],tblCountriesRaw[index],tblCountriesRaw[country],"Check")</f>
        <v>Somalia</v>
      </c>
      <c r="C161" s="36" t="str" cm="1">
        <f t="array" ref="C161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SO</v>
      </c>
      <c r="D161" s="37" cm="1">
        <f t="array" ref="D161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637657</v>
      </c>
      <c r="E161" s="38" cm="1">
        <f t="array" ref="E161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252</v>
      </c>
      <c r="F161" s="36" t="str" cm="1">
        <f t="array" ref="F161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Mogadishu</v>
      </c>
      <c r="G161" s="37" cm="1">
        <f t="array" ref="G161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4720727278</v>
      </c>
      <c r="H161" s="37" cm="1">
        <f t="array" ref="H161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17597511</v>
      </c>
      <c r="I161" s="39" cm="1">
        <f t="array" ref="I161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0.11</v>
      </c>
      <c r="J161" s="36">
        <f>IF(tblCountriesClean[[#This Row],[Data_Quality_Status]]="CHECK","",1+COUNTIFS(tblCountriesClean[GDP_USD],"&gt;"&amp;tblCountriesClean[[#This Row],[GDP_USD]],tblCountriesClean[Data_Quality_Status],"&lt;&gt;CHECK"))</f>
        <v>156</v>
      </c>
      <c r="K161" s="40">
        <f>IF(tblCountriesClean[[#This Row],[Data_Quality_Status]]="CHECK","",IFERROR(tblCountriesClean[[#This Row],[GDP_USD]]/tblCountriesClean[[#This Row],[Population]],""))</f>
        <v>268.26107839909861</v>
      </c>
      <c r="L161" s="40">
        <f>IF(tblCountriesClean[[#This Row],[Data_Quality_Status]]="CHECK","",IFERROR(tblCountriesClean[[#This Row],[Population]]/tblCountriesClean[[#This Row],[Area_km2]],""))</f>
        <v>27.597142350824974</v>
      </c>
      <c r="M161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62" spans="1:13">
      <c r="A162" s="31">
        <v>161</v>
      </c>
      <c r="B162" s="32" t="str">
        <f>_xlfn.XLOOKUP(tblCountriesClean[[#This Row],[Record_ID]],tblCountriesRaw[index],tblCountriesRaw[country],"Check")</f>
        <v>South Africa</v>
      </c>
      <c r="C162" s="36" t="str" cm="1">
        <f t="array" ref="C162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ZA</v>
      </c>
      <c r="D162" s="37" cm="1">
        <f t="array" ref="D162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1221037</v>
      </c>
      <c r="E162" s="38" cm="1">
        <f t="array" ref="E162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27</v>
      </c>
      <c r="F162" s="36" t="str" cm="1">
        <f t="array" ref="F162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Pretoria</v>
      </c>
      <c r="G162" s="37" cm="1">
        <f t="array" ref="G162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351431649241</v>
      </c>
      <c r="H162" s="37" cm="1">
        <f t="array" ref="H162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59893885</v>
      </c>
      <c r="I162" s="39" cm="1">
        <f t="array" ref="I162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0.28000000000000003</v>
      </c>
      <c r="J162" s="36">
        <f>IF(tblCountriesClean[[#This Row],[Data_Quality_Status]]="CHECK","",1+COUNTIFS(tblCountriesClean[GDP_USD],"&gt;"&amp;tblCountriesClean[[#This Row],[GDP_USD]],tblCountriesClean[Data_Quality_Status],"&lt;&gt;CHECK"))</f>
        <v>37</v>
      </c>
      <c r="K162" s="40">
        <f>IF(tblCountriesClean[[#This Row],[Data_Quality_Status]]="CHECK","",IFERROR(tblCountriesClean[[#This Row],[GDP_USD]]/tblCountriesClean[[#This Row],[Population]],""))</f>
        <v>5867.5714430780372</v>
      </c>
      <c r="L162" s="40">
        <f>IF(tblCountriesClean[[#This Row],[Data_Quality_Status]]="CHECK","",IFERROR(tblCountriesClean[[#This Row],[Population]]/tblCountriesClean[[#This Row],[Area_km2]],""))</f>
        <v>49.051654454369526</v>
      </c>
      <c r="M162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63" spans="1:13">
      <c r="A163" s="31">
        <v>162</v>
      </c>
      <c r="B163" s="32" t="str">
        <f>_xlfn.XLOOKUP(tblCountriesClean[[#This Row],[Record_ID]],tblCountriesRaw[index],tblCountriesRaw[country],"Check")</f>
        <v>South Korea</v>
      </c>
      <c r="C163" s="36" t="str" cm="1">
        <f t="array" ref="C163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KR</v>
      </c>
      <c r="D163" s="37" cm="1">
        <f t="array" ref="D163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100295</v>
      </c>
      <c r="E163" s="38" cm="1">
        <f t="array" ref="E163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82</v>
      </c>
      <c r="F163" s="36" t="str" cm="1">
        <f t="array" ref="F163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Seoul</v>
      </c>
      <c r="G163" s="37" cm="1">
        <f t="array" ref="G163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2029000000000</v>
      </c>
      <c r="H163" s="37" cm="1">
        <f t="array" ref="H163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51628117</v>
      </c>
      <c r="I163" s="39" cm="1">
        <f t="array" ref="I163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0.04</v>
      </c>
      <c r="J163" s="36">
        <f>IF(tblCountriesClean[[#This Row],[Data_Quality_Status]]="CHECK","",1+COUNTIFS(tblCountriesClean[GDP_USD],"&gt;"&amp;tblCountriesClean[[#This Row],[GDP_USD]],tblCountriesClean[Data_Quality_Status],"&lt;&gt;CHECK"))</f>
        <v>8</v>
      </c>
      <c r="K163" s="40">
        <f>IF(tblCountriesClean[[#This Row],[Data_Quality_Status]]="CHECK","",IFERROR(tblCountriesClean[[#This Row],[GDP_USD]]/tblCountriesClean[[#This Row],[Population]],""))</f>
        <v>39300.290576160274</v>
      </c>
      <c r="L163" s="40">
        <f>IF(tblCountriesClean[[#This Row],[Data_Quality_Status]]="CHECK","",IFERROR(tblCountriesClean[[#This Row],[Population]]/tblCountriesClean[[#This Row],[Area_km2]],""))</f>
        <v>514.76262027020289</v>
      </c>
      <c r="M163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64" spans="1:13">
      <c r="A164" s="31">
        <v>163</v>
      </c>
      <c r="B164" s="32" t="str">
        <f>_xlfn.XLOOKUP(tblCountriesClean[[#This Row],[Record_ID]],tblCountriesRaw[index],tblCountriesRaw[country],"Check")</f>
        <v>South Sudan</v>
      </c>
      <c r="C164" s="36" t="str" cm="1">
        <f t="array" ref="C164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SS</v>
      </c>
      <c r="D164" s="37" cm="1">
        <f t="array" ref="D164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644329</v>
      </c>
      <c r="E164" s="38" cm="1">
        <f t="array" ref="E164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211</v>
      </c>
      <c r="F164" s="36" t="str" cm="1">
        <f t="array" ref="F164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Juba</v>
      </c>
      <c r="G164" s="37" cm="1">
        <f t="array" ref="G164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11997800751</v>
      </c>
      <c r="H164" s="37" cm="1">
        <f t="array" ref="H164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10913164</v>
      </c>
      <c r="I164" s="39" cm="1">
        <f t="array" ref="I164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0.12</v>
      </c>
      <c r="J164" s="36">
        <f>IF(tblCountriesClean[[#This Row],[Data_Quality_Status]]="CHECK","",1+COUNTIFS(tblCountriesClean[GDP_USD],"&gt;"&amp;tblCountriesClean[[#This Row],[GDP_USD]],tblCountriesClean[Data_Quality_Status],"&lt;&gt;CHECK"))</f>
        <v>137</v>
      </c>
      <c r="K164" s="40">
        <f>IF(tblCountriesClean[[#This Row],[Data_Quality_Status]]="CHECK","",IFERROR(tblCountriesClean[[#This Row],[GDP_USD]]/tblCountriesClean[[#This Row],[Population]],""))</f>
        <v>1099.3879273691846</v>
      </c>
      <c r="L164" s="40">
        <f>IF(tblCountriesClean[[#This Row],[Data_Quality_Status]]="CHECK","",IFERROR(tblCountriesClean[[#This Row],[Population]]/tblCountriesClean[[#This Row],[Area_km2]],""))</f>
        <v>16.937254104657715</v>
      </c>
      <c r="M164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65" spans="1:13">
      <c r="A165" s="31">
        <v>164</v>
      </c>
      <c r="B165" s="32" t="str">
        <f>_xlfn.XLOOKUP(tblCountriesClean[[#This Row],[Record_ID]],tblCountriesRaw[index],tblCountriesRaw[country],"Check")</f>
        <v>Spain</v>
      </c>
      <c r="C165" s="36" t="str" cm="1">
        <f t="array" ref="C165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ES</v>
      </c>
      <c r="D165" s="37" cm="1">
        <f t="array" ref="D165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505990</v>
      </c>
      <c r="E165" s="38" cm="1">
        <f t="array" ref="E165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34</v>
      </c>
      <c r="F165" s="36" t="str" cm="1">
        <f t="array" ref="F165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Madrid</v>
      </c>
      <c r="G165" s="37" cm="1">
        <f t="array" ref="G165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1394116310769</v>
      </c>
      <c r="H165" s="37" cm="1">
        <f t="array" ref="H165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47615034</v>
      </c>
      <c r="I165" s="39" cm="1">
        <f t="array" ref="I165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0.14000000000000001</v>
      </c>
      <c r="J165" s="36">
        <f>IF(tblCountriesClean[[#This Row],[Data_Quality_Status]]="CHECK","",1+COUNTIFS(tblCountriesClean[GDP_USD],"&gt;"&amp;tblCountriesClean[[#This Row],[GDP_USD]],tblCountriesClean[Data_Quality_Status],"&lt;&gt;CHECK"))</f>
        <v>13</v>
      </c>
      <c r="K165" s="40">
        <f>IF(tblCountriesClean[[#This Row],[Data_Quality_Status]]="CHECK","",IFERROR(tblCountriesClean[[#This Row],[GDP_USD]]/tblCountriesClean[[#This Row],[Population]],""))</f>
        <v>29278.91032838494</v>
      </c>
      <c r="L165" s="40">
        <f>IF(tblCountriesClean[[#This Row],[Data_Quality_Status]]="CHECK","",IFERROR(tblCountriesClean[[#This Row],[Population]]/tblCountriesClean[[#This Row],[Area_km2]],""))</f>
        <v>94.102717445008793</v>
      </c>
      <c r="M165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66" spans="1:13">
      <c r="A166" s="31">
        <v>165</v>
      </c>
      <c r="B166" s="32" t="str">
        <f>_xlfn.XLOOKUP(tblCountriesClean[[#This Row],[Record_ID]],tblCountriesRaw[index],tblCountriesRaw[country],"Check")</f>
        <v>Sri Lanka</v>
      </c>
      <c r="C166" s="36" t="str" cm="1">
        <f t="array" ref="C166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LK</v>
      </c>
      <c r="D166" s="37" cm="1">
        <f t="array" ref="D166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65610</v>
      </c>
      <c r="E166" s="38" cm="1">
        <f t="array" ref="E166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94</v>
      </c>
      <c r="F166" s="36" t="str" cm="1">
        <f t="array" ref="F166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Colombo</v>
      </c>
      <c r="G166" s="37" cm="1">
        <f t="array" ref="G166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84008783756</v>
      </c>
      <c r="H166" s="37" cm="1">
        <f t="array" ref="H166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22181000</v>
      </c>
      <c r="I166" s="39" cm="1">
        <f t="array" ref="I166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0.04</v>
      </c>
      <c r="J166" s="36">
        <f>IF(tblCountriesClean[[#This Row],[Data_Quality_Status]]="CHECK","",1+COUNTIFS(tblCountriesClean[GDP_USD],"&gt;"&amp;tblCountriesClean[[#This Row],[GDP_USD]],tblCountriesClean[Data_Quality_Status],"&lt;&gt;CHECK"))</f>
        <v>68</v>
      </c>
      <c r="K166" s="40">
        <f>IF(tblCountriesClean[[#This Row],[Data_Quality_Status]]="CHECK","",IFERROR(tblCountriesClean[[#This Row],[GDP_USD]]/tblCountriesClean[[#This Row],[Population]],""))</f>
        <v>3787.4209348541544</v>
      </c>
      <c r="L166" s="40">
        <f>IF(tblCountriesClean[[#This Row],[Data_Quality_Status]]="CHECK","",IFERROR(tblCountriesClean[[#This Row],[Population]]/tblCountriesClean[[#This Row],[Area_km2]],""))</f>
        <v>338.07346441091295</v>
      </c>
      <c r="M166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CORRECTED</v>
      </c>
    </row>
    <row r="167" spans="1:13">
      <c r="A167" s="31">
        <v>166</v>
      </c>
      <c r="B167" s="32" t="str">
        <f>_xlfn.XLOOKUP(tblCountriesClean[[#This Row],[Record_ID]],tblCountriesRaw[index],tblCountriesRaw[country],"Check")</f>
        <v>Sudan</v>
      </c>
      <c r="C167" s="36" t="str" cm="1">
        <f t="array" ref="C167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SD</v>
      </c>
      <c r="D167" s="37" cm="1">
        <f t="array" ref="D167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1886068</v>
      </c>
      <c r="E167" s="38" cm="1">
        <f t="array" ref="E167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249</v>
      </c>
      <c r="F167" s="36" t="str" cm="1">
        <f t="array" ref="F167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Khartoum</v>
      </c>
      <c r="G167" s="37" cm="1">
        <f t="array" ref="G167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18902284476</v>
      </c>
      <c r="H167" s="37" cm="1">
        <f t="array" ref="H167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46874204</v>
      </c>
      <c r="I167" s="39" cm="1">
        <f t="array" ref="I167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0.17</v>
      </c>
      <c r="J167" s="36">
        <f>IF(tblCountriesClean[[#This Row],[Data_Quality_Status]]="CHECK","",1+COUNTIFS(tblCountriesClean[GDP_USD],"&gt;"&amp;tblCountriesClean[[#This Row],[GDP_USD]],tblCountriesClean[Data_Quality_Status],"&lt;&gt;CHECK"))</f>
        <v>115</v>
      </c>
      <c r="K167" s="40">
        <f>IF(tblCountriesClean[[#This Row],[Data_Quality_Status]]="CHECK","",IFERROR(tblCountriesClean[[#This Row],[GDP_USD]]/tblCountriesClean[[#This Row],[Population]],""))</f>
        <v>403.25558330547864</v>
      </c>
      <c r="L167" s="40">
        <f>IF(tblCountriesClean[[#This Row],[Data_Quality_Status]]="CHECK","",IFERROR(tblCountriesClean[[#This Row],[Population]]/tblCountriesClean[[#This Row],[Area_km2]],""))</f>
        <v>24.852870628206407</v>
      </c>
      <c r="M167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68" spans="1:13">
      <c r="A168" s="31">
        <v>167</v>
      </c>
      <c r="B168" s="32" t="str">
        <f>_xlfn.XLOOKUP(tblCountriesClean[[#This Row],[Record_ID]],tblCountriesRaw[index],tblCountriesRaw[country],"Check")</f>
        <v>Suriname</v>
      </c>
      <c r="C168" s="36" t="str" cm="1">
        <f t="array" ref="C168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SR</v>
      </c>
      <c r="D168" s="37" cm="1">
        <f t="array" ref="D168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163270</v>
      </c>
      <c r="E168" s="38" cm="1">
        <f t="array" ref="E168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597</v>
      </c>
      <c r="F168" s="36" t="str" cm="1">
        <f t="array" ref="F168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Paramaribo</v>
      </c>
      <c r="G168" s="37" cm="1">
        <f t="array" ref="G168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3985250737</v>
      </c>
      <c r="H168" s="37" cm="1">
        <f t="array" ref="H168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618040</v>
      </c>
      <c r="I168" s="39" cm="1">
        <f t="array" ref="I168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7.0000000000000007E-2</v>
      </c>
      <c r="J168" s="36">
        <f>IF(tblCountriesClean[[#This Row],[Data_Quality_Status]]="CHECK","",1+COUNTIFS(tblCountriesClean[GDP_USD],"&gt;"&amp;tblCountriesClean[[#This Row],[GDP_USD]],tblCountriesClean[Data_Quality_Status],"&lt;&gt;CHECK"))</f>
        <v>158</v>
      </c>
      <c r="K168" s="40">
        <f>IF(tblCountriesClean[[#This Row],[Data_Quality_Status]]="CHECK","",IFERROR(tblCountriesClean[[#This Row],[GDP_USD]]/tblCountriesClean[[#This Row],[Population]],""))</f>
        <v>6448.2084282570704</v>
      </c>
      <c r="L168" s="40">
        <f>IF(tblCountriesClean[[#This Row],[Data_Quality_Status]]="CHECK","",IFERROR(tblCountriesClean[[#This Row],[Population]]/tblCountriesClean[[#This Row],[Area_km2]],""))</f>
        <v>3.7853861701476084</v>
      </c>
      <c r="M168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69" spans="1:13">
      <c r="A169" s="31">
        <v>168</v>
      </c>
      <c r="B169" s="32" t="str">
        <f>_xlfn.XLOOKUP(tblCountriesClean[[#This Row],[Record_ID]],tblCountriesRaw[index],tblCountriesRaw[country],"Check")</f>
        <v>Sweden</v>
      </c>
      <c r="C169" s="36" t="str" cm="1">
        <f t="array" ref="C169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SE</v>
      </c>
      <c r="D169" s="37" cm="1">
        <f t="array" ref="D169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447425</v>
      </c>
      <c r="E169" s="38" cm="1">
        <f t="array" ref="E169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46</v>
      </c>
      <c r="F169" s="36" t="str" cm="1">
        <f t="array" ref="F169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Stockholm</v>
      </c>
      <c r="G169" s="37" cm="1">
        <f t="array" ref="G169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530832908738</v>
      </c>
      <c r="H169" s="37" cm="1">
        <f t="array" ref="H169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10486941</v>
      </c>
      <c r="I169" s="39" cm="1">
        <f t="array" ref="I169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0.06</v>
      </c>
      <c r="J169" s="36">
        <f>IF(tblCountriesClean[[#This Row],[Data_Quality_Status]]="CHECK","",1+COUNTIFS(tblCountriesClean[GDP_USD],"&gt;"&amp;tblCountriesClean[[#This Row],[GDP_USD]],tblCountriesClean[Data_Quality_Status],"&lt;&gt;CHECK"))</f>
        <v>23</v>
      </c>
      <c r="K169" s="40">
        <f>IF(tblCountriesClean[[#This Row],[Data_Quality_Status]]="CHECK","",IFERROR(tblCountriesClean[[#This Row],[GDP_USD]]/tblCountriesClean[[#This Row],[Population]],""))</f>
        <v>50618.470032204816</v>
      </c>
      <c r="L169" s="40">
        <f>IF(tblCountriesClean[[#This Row],[Data_Quality_Status]]="CHECK","",IFERROR(tblCountriesClean[[#This Row],[Population]]/tblCountriesClean[[#This Row],[Area_km2]],""))</f>
        <v>23.438433256970441</v>
      </c>
      <c r="M169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70" spans="1:13">
      <c r="A170" s="31">
        <v>169</v>
      </c>
      <c r="B170" s="32" t="str">
        <f>_xlfn.XLOOKUP(tblCountriesClean[[#This Row],[Record_ID]],tblCountriesRaw[index],tblCountriesRaw[country],"Check")</f>
        <v>Switzerland</v>
      </c>
      <c r="C170" s="36" t="str" cm="1">
        <f t="array" ref="C170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CH</v>
      </c>
      <c r="D170" s="37" cm="1">
        <f t="array" ref="D170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41285</v>
      </c>
      <c r="E170" s="38" cm="1">
        <f t="array" ref="E170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41</v>
      </c>
      <c r="F170" s="36" t="str" cm="1">
        <f t="array" ref="F170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Bern</v>
      </c>
      <c r="G170" s="37" cm="1">
        <f t="array" ref="G170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703082435360</v>
      </c>
      <c r="H170" s="37" cm="1">
        <f t="array" ref="H170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8769741</v>
      </c>
      <c r="I170" s="39" cm="1">
        <f t="array" ref="I170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0.05</v>
      </c>
      <c r="J170" s="36">
        <f>IF(tblCountriesClean[[#This Row],[Data_Quality_Status]]="CHECK","",1+COUNTIFS(tblCountriesClean[GDP_USD],"&gt;"&amp;tblCountriesClean[[#This Row],[GDP_USD]],tblCountriesClean[Data_Quality_Status],"&lt;&gt;CHECK"))</f>
        <v>20</v>
      </c>
      <c r="K170" s="40">
        <f>IF(tblCountriesClean[[#This Row],[Data_Quality_Status]]="CHECK","",IFERROR(tblCountriesClean[[#This Row],[GDP_USD]]/tblCountriesClean[[#This Row],[Population]],""))</f>
        <v>80171.402480415331</v>
      </c>
      <c r="L170" s="40">
        <f>IF(tblCountriesClean[[#This Row],[Data_Quality_Status]]="CHECK","",IFERROR(tblCountriesClean[[#This Row],[Population]]/tblCountriesClean[[#This Row],[Area_km2]],""))</f>
        <v>212.41954705098703</v>
      </c>
      <c r="M170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71" spans="1:13">
      <c r="A171" s="31">
        <v>170</v>
      </c>
      <c r="B171" s="32" t="str">
        <f>_xlfn.XLOOKUP(tblCountriesClean[[#This Row],[Record_ID]],tblCountriesRaw[index],tblCountriesRaw[country],"Check")</f>
        <v>Syria</v>
      </c>
      <c r="C171" s="36" t="str" cm="1">
        <f t="array" ref="C171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SY</v>
      </c>
      <c r="D171" s="37" cm="1">
        <f t="array" ref="D171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185180</v>
      </c>
      <c r="E171" s="38" cm="1">
        <f t="array" ref="E171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963</v>
      </c>
      <c r="F171" s="36" t="str" cm="1">
        <f t="array" ref="F171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Damascus</v>
      </c>
      <c r="G171" s="37" cm="1">
        <f t="array" ref="G171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40405006007</v>
      </c>
      <c r="H171" s="37" cm="1">
        <f t="array" ref="H171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22125249</v>
      </c>
      <c r="I171" s="39" cm="1">
        <f t="array" ref="I171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0.08</v>
      </c>
      <c r="J171" s="36">
        <f>IF(tblCountriesClean[[#This Row],[Data_Quality_Status]]="CHECK","",1+COUNTIFS(tblCountriesClean[GDP_USD],"&gt;"&amp;tblCountriesClean[[#This Row],[GDP_USD]],tblCountriesClean[Data_Quality_Status],"&lt;&gt;CHECK"))</f>
        <v>91</v>
      </c>
      <c r="K171" s="40">
        <f>IF(tblCountriesClean[[#This Row],[Data_Quality_Status]]="CHECK","",IFERROR(tblCountriesClean[[#This Row],[GDP_USD]]/tblCountriesClean[[#This Row],[Population]],""))</f>
        <v>1826.1944083431558</v>
      </c>
      <c r="L171" s="40">
        <f>IF(tblCountriesClean[[#This Row],[Data_Quality_Status]]="CHECK","",IFERROR(tblCountriesClean[[#This Row],[Population]]/tblCountriesClean[[#This Row],[Area_km2]],""))</f>
        <v>119.47969003132087</v>
      </c>
      <c r="M171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72" spans="1:13">
      <c r="A172" s="31">
        <v>171</v>
      </c>
      <c r="B172" s="32" t="str">
        <f>_xlfn.XLOOKUP(tblCountriesClean[[#This Row],[Record_ID]],tblCountriesRaw[index],tblCountriesRaw[country],"Check")</f>
        <v>Tajikistan</v>
      </c>
      <c r="C172" s="36" t="str" cm="1">
        <f t="array" ref="C172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TJ</v>
      </c>
      <c r="D172" s="37" cm="1">
        <f t="array" ref="D172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143100</v>
      </c>
      <c r="E172" s="38" cm="1">
        <f t="array" ref="E172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992</v>
      </c>
      <c r="F172" s="36" t="str" cm="1">
        <f t="array" ref="F172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Dushanbe</v>
      </c>
      <c r="G172" s="37" cm="1">
        <f t="array" ref="G172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8116626794</v>
      </c>
      <c r="H172" s="37" cm="1">
        <f t="array" ref="H172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9952787</v>
      </c>
      <c r="I172" s="39" cm="1">
        <f t="array" ref="I172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0.11</v>
      </c>
      <c r="J172" s="36">
        <f>IF(tblCountriesClean[[#This Row],[Data_Quality_Status]]="CHECK","",1+COUNTIFS(tblCountriesClean[GDP_USD],"&gt;"&amp;tblCountriesClean[[#This Row],[GDP_USD]],tblCountriesClean[Data_Quality_Status],"&lt;&gt;CHECK"))</f>
        <v>146</v>
      </c>
      <c r="K172" s="40">
        <f>IF(tblCountriesClean[[#This Row],[Data_Quality_Status]]="CHECK","",IFERROR(tblCountriesClean[[#This Row],[GDP_USD]]/tblCountriesClean[[#This Row],[Population]],""))</f>
        <v>815.51296074154902</v>
      </c>
      <c r="L172" s="40">
        <f>IF(tblCountriesClean[[#This Row],[Data_Quality_Status]]="CHECK","",IFERROR(tblCountriesClean[[#This Row],[Population]]/tblCountriesClean[[#This Row],[Area_km2]],""))</f>
        <v>69.551271837875618</v>
      </c>
      <c r="M172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73" spans="1:13">
      <c r="A173" s="31">
        <v>172</v>
      </c>
      <c r="B173" s="32" t="str">
        <f>_xlfn.XLOOKUP(tblCountriesClean[[#This Row],[Record_ID]],tblCountriesRaw[index],tblCountriesRaw[country],"Check")</f>
        <v>Tanzania</v>
      </c>
      <c r="C173" s="36" t="str" cm="1">
        <f t="array" ref="C173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TZ</v>
      </c>
      <c r="D173" s="37" cm="1">
        <f t="array" ref="D173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947303</v>
      </c>
      <c r="E173" s="38" cm="1">
        <f t="array" ref="E173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255</v>
      </c>
      <c r="F173" s="36" t="str" cm="1">
        <f t="array" ref="F173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Dodoma</v>
      </c>
      <c r="G173" s="37" cm="1">
        <f t="array" ref="G173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63177068175</v>
      </c>
      <c r="H173" s="37" cm="1">
        <f t="array" ref="H173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65497748</v>
      </c>
      <c r="I173" s="39" cm="1">
        <f t="array" ref="I173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0.02</v>
      </c>
      <c r="J173" s="36">
        <f>IF(tblCountriesClean[[#This Row],[Data_Quality_Status]]="CHECK","",1+COUNTIFS(tblCountriesClean[GDP_USD],"&gt;"&amp;tblCountriesClean[[#This Row],[GDP_USD]],tblCountriesClean[Data_Quality_Status],"&lt;&gt;CHECK"))</f>
        <v>75</v>
      </c>
      <c r="K173" s="40">
        <f>IF(tblCountriesClean[[#This Row],[Data_Quality_Status]]="CHECK","",IFERROR(tblCountriesClean[[#This Row],[GDP_USD]]/tblCountriesClean[[#This Row],[Population]],""))</f>
        <v>964.56855547155601</v>
      </c>
      <c r="L173" s="40">
        <f>IF(tblCountriesClean[[#This Row],[Data_Quality_Status]]="CHECK","",IFERROR(tblCountriesClean[[#This Row],[Population]]/tblCountriesClean[[#This Row],[Area_km2]],""))</f>
        <v>69.141286367719729</v>
      </c>
      <c r="M173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74" spans="1:13">
      <c r="A174" s="31">
        <v>173</v>
      </c>
      <c r="B174" s="32" t="str">
        <f>_xlfn.XLOOKUP(tblCountriesClean[[#This Row],[Record_ID]],tblCountriesRaw[index],tblCountriesRaw[country],"Check")</f>
        <v>Thailand</v>
      </c>
      <c r="C174" s="36" t="str" cm="1">
        <f t="array" ref="C174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TH</v>
      </c>
      <c r="D174" s="37" cm="1">
        <f t="array" ref="D174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513120</v>
      </c>
      <c r="E174" s="38" cm="1">
        <f t="array" ref="E174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66</v>
      </c>
      <c r="F174" s="36" t="str" cm="1">
        <f t="array" ref="F174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Bangkok</v>
      </c>
      <c r="G174" s="37" cm="1">
        <f t="array" ref="G174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543649976166</v>
      </c>
      <c r="H174" s="37" cm="1">
        <f t="array" ref="H174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71697030</v>
      </c>
      <c r="I174" s="39" cm="1">
        <f t="array" ref="I174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0.01</v>
      </c>
      <c r="J174" s="36">
        <f>IF(tblCountriesClean[[#This Row],[Data_Quality_Status]]="CHECK","",1+COUNTIFS(tblCountriesClean[GDP_USD],"&gt;"&amp;tblCountriesClean[[#This Row],[GDP_USD]],tblCountriesClean[Data_Quality_Status],"&lt;&gt;CHECK"))</f>
        <v>22</v>
      </c>
      <c r="K174" s="40">
        <f>IF(tblCountriesClean[[#This Row],[Data_Quality_Status]]="CHECK","",IFERROR(tblCountriesClean[[#This Row],[GDP_USD]]/tblCountriesClean[[#This Row],[Population]],""))</f>
        <v>7582.6010668224335</v>
      </c>
      <c r="L174" s="40">
        <f>IF(tblCountriesClean[[#This Row],[Data_Quality_Status]]="CHECK","",IFERROR(tblCountriesClean[[#This Row],[Population]]/tblCountriesClean[[#This Row],[Area_km2]],""))</f>
        <v>139.72760757717492</v>
      </c>
      <c r="M174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75" spans="1:13">
      <c r="A175" s="31">
        <v>174</v>
      </c>
      <c r="B175" s="32" t="str">
        <f>_xlfn.XLOOKUP(tblCountriesClean[[#This Row],[Record_ID]],tblCountriesRaw[index],tblCountriesRaw[country],"Check")</f>
        <v>Timor-Leste</v>
      </c>
      <c r="C175" s="36" t="str" cm="1">
        <f t="array" ref="C175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TL</v>
      </c>
      <c r="D175" s="37" cm="1">
        <f t="array" ref="D175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14919</v>
      </c>
      <c r="E175" s="38" cm="1">
        <f t="array" ref="E175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670</v>
      </c>
      <c r="F175" s="36" t="str" cm="1">
        <f t="array" ref="F175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Dili</v>
      </c>
      <c r="G175" s="37" cm="1">
        <f t="array" ref="G175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1673540300</v>
      </c>
      <c r="H175" s="37" cm="1">
        <f t="array" ref="H175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1341296</v>
      </c>
      <c r="I175" s="39" cm="1">
        <f t="array" ref="I175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0.05</v>
      </c>
      <c r="J175" s="36">
        <f>IF(tblCountriesClean[[#This Row],[Data_Quality_Status]]="CHECK","",1+COUNTIFS(tblCountriesClean[GDP_USD],"&gt;"&amp;tblCountriesClean[[#This Row],[GDP_USD]],tblCountriesClean[Data_Quality_Status],"&lt;&gt;CHECK"))</f>
        <v>175</v>
      </c>
      <c r="K175" s="40">
        <f>IF(tblCountriesClean[[#This Row],[Data_Quality_Status]]="CHECK","",IFERROR(tblCountriesClean[[#This Row],[GDP_USD]]/tblCountriesClean[[#This Row],[Population]],""))</f>
        <v>1247.7039370877121</v>
      </c>
      <c r="L175" s="40">
        <f>IF(tblCountriesClean[[#This Row],[Data_Quality_Status]]="CHECK","",IFERROR(tblCountriesClean[[#This Row],[Population]]/tblCountriesClean[[#This Row],[Area_km2]],""))</f>
        <v>89.905221529593135</v>
      </c>
      <c r="M175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76" spans="1:13">
      <c r="A176" s="31">
        <v>175</v>
      </c>
      <c r="B176" s="32" t="str">
        <f>_xlfn.XLOOKUP(tblCountriesClean[[#This Row],[Record_ID]],tblCountriesRaw[index],tblCountriesRaw[country],"Check")</f>
        <v>Togo</v>
      </c>
      <c r="C176" s="36" t="str" cm="1">
        <f t="array" ref="C176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TG</v>
      </c>
      <c r="D176" s="37" cm="1">
        <f t="array" ref="D176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56785</v>
      </c>
      <c r="E176" s="38" cm="1">
        <f t="array" ref="E176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228</v>
      </c>
      <c r="F176" s="36" t="str" cm="1">
        <f t="array" ref="F176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Lomé</v>
      </c>
      <c r="G176" s="37" cm="1">
        <f t="array" ref="G176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5459979417</v>
      </c>
      <c r="H176" s="37" cm="1">
        <f t="array" ref="H176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8848699</v>
      </c>
      <c r="I176" s="39" cm="1">
        <f t="array" ref="I176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0.02</v>
      </c>
      <c r="J176" s="36">
        <f>IF(tblCountriesClean[[#This Row],[Data_Quality_Status]]="CHECK","",1+COUNTIFS(tblCountriesClean[GDP_USD],"&gt;"&amp;tblCountriesClean[[#This Row],[GDP_USD]],tblCountriesClean[Data_Quality_Status],"&lt;&gt;CHECK"))</f>
        <v>154</v>
      </c>
      <c r="K176" s="40">
        <f>IF(tblCountriesClean[[#This Row],[Data_Quality_Status]]="CHECK","",IFERROR(tblCountriesClean[[#This Row],[GDP_USD]]/tblCountriesClean[[#This Row],[Population]],""))</f>
        <v>617.03753478336193</v>
      </c>
      <c r="L176" s="40">
        <f>IF(tblCountriesClean[[#This Row],[Data_Quality_Status]]="CHECK","",IFERROR(tblCountriesClean[[#This Row],[Population]]/tblCountriesClean[[#This Row],[Area_km2]],""))</f>
        <v>155.82810601391213</v>
      </c>
      <c r="M176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77" spans="1:13">
      <c r="A177" s="31">
        <v>176</v>
      </c>
      <c r="B177" s="32" t="str">
        <f>_xlfn.XLOOKUP(tblCountriesClean[[#This Row],[Record_ID]],tblCountriesRaw[index],tblCountriesRaw[country],"Check")</f>
        <v>Tonga</v>
      </c>
      <c r="C177" s="36" t="str" cm="1">
        <f t="array" ref="C177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TO</v>
      </c>
      <c r="D177" s="37" cm="1">
        <f t="array" ref="D177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749</v>
      </c>
      <c r="E177" s="38" cm="1">
        <f t="array" ref="E177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676</v>
      </c>
      <c r="F177" s="36" t="str" cm="1">
        <f t="array" ref="F177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Nukuʻalofa</v>
      </c>
      <c r="G177" s="37" cm="1">
        <f t="array" ref="G177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450353314</v>
      </c>
      <c r="H177" s="37" cm="1">
        <f t="array" ref="H177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106858</v>
      </c>
      <c r="I177" s="39" cm="1">
        <f t="array" ref="I177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0.01</v>
      </c>
      <c r="J177" s="36">
        <f>IF(tblCountriesClean[[#This Row],[Data_Quality_Status]]="CHECK","",1+COUNTIFS(tblCountriesClean[GDP_USD],"&gt;"&amp;tblCountriesClean[[#This Row],[GDP_USD]],tblCountriesClean[Data_Quality_Status],"&lt;&gt;CHECK"))</f>
        <v>186</v>
      </c>
      <c r="K177" s="40">
        <f>IF(tblCountriesClean[[#This Row],[Data_Quality_Status]]="CHECK","",IFERROR(tblCountriesClean[[#This Row],[GDP_USD]]/tblCountriesClean[[#This Row],[Population]],""))</f>
        <v>4214.5025547923415</v>
      </c>
      <c r="L177" s="40">
        <f>IF(tblCountriesClean[[#This Row],[Data_Quality_Status]]="CHECK","",IFERROR(tblCountriesClean[[#This Row],[Population]]/tblCountriesClean[[#This Row],[Area_km2]],""))</f>
        <v>142.66755674232309</v>
      </c>
      <c r="M177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78" spans="1:13">
      <c r="A178" s="31">
        <v>177</v>
      </c>
      <c r="B178" s="32" t="str">
        <f>_xlfn.XLOOKUP(tblCountriesClean[[#This Row],[Record_ID]],tblCountriesRaw[index],tblCountriesRaw[country],"Check")</f>
        <v>Trinidad and Tobago</v>
      </c>
      <c r="C178" s="36" t="str" cm="1">
        <f t="array" ref="C178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TT</v>
      </c>
      <c r="D178" s="37" cm="1">
        <f t="array" ref="D178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5128</v>
      </c>
      <c r="E178" s="38" cm="1">
        <f t="array" ref="E178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1868</v>
      </c>
      <c r="F178" s="36" t="str" cm="1">
        <f t="array" ref="F178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Port of Spain</v>
      </c>
      <c r="G178" s="37" cm="1">
        <f t="array" ref="G178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24100202834</v>
      </c>
      <c r="H178" s="37" cm="1">
        <f t="array" ref="H178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1531044</v>
      </c>
      <c r="I178" s="39" cm="1">
        <f t="array" ref="I178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0.03</v>
      </c>
      <c r="J178" s="36">
        <f>IF(tblCountriesClean[[#This Row],[Data_Quality_Status]]="CHECK","",1+COUNTIFS(tblCountriesClean[GDP_USD],"&gt;"&amp;tblCountriesClean[[#This Row],[GDP_USD]],tblCountriesClean[Data_Quality_Status],"&lt;&gt;CHECK"))</f>
        <v>109</v>
      </c>
      <c r="K178" s="40">
        <f>IF(tblCountriesClean[[#This Row],[Data_Quality_Status]]="CHECK","",IFERROR(tblCountriesClean[[#This Row],[GDP_USD]]/tblCountriesClean[[#This Row],[Population]],""))</f>
        <v>15741.02562303892</v>
      </c>
      <c r="L178" s="40">
        <f>IF(tblCountriesClean[[#This Row],[Data_Quality_Status]]="CHECK","",IFERROR(tblCountriesClean[[#This Row],[Population]]/tblCountriesClean[[#This Row],[Area_km2]],""))</f>
        <v>298.56552262090486</v>
      </c>
      <c r="M178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79" spans="1:13">
      <c r="A179" s="31">
        <v>178</v>
      </c>
      <c r="B179" s="32" t="str">
        <f>_xlfn.XLOOKUP(tblCountriesClean[[#This Row],[Record_ID]],tblCountriesRaw[index],tblCountriesRaw[country],"Check")</f>
        <v>Tunisia</v>
      </c>
      <c r="C179" s="36" t="str" cm="1">
        <f t="array" ref="C179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TN</v>
      </c>
      <c r="D179" s="37" cm="1">
        <f t="array" ref="D179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163610</v>
      </c>
      <c r="E179" s="38" cm="1">
        <f t="array" ref="E179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216</v>
      </c>
      <c r="F179" s="36" t="str" cm="1">
        <f t="array" ref="F179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Tunis</v>
      </c>
      <c r="G179" s="37" cm="1">
        <f t="array" ref="G179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38797709924</v>
      </c>
      <c r="H179" s="37" cm="1">
        <f t="array" ref="H179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12356117</v>
      </c>
      <c r="I179" s="39" cm="1">
        <f t="array" ref="I179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0.16</v>
      </c>
      <c r="J179" s="36">
        <f>IF(tblCountriesClean[[#This Row],[Data_Quality_Status]]="CHECK","",1+COUNTIFS(tblCountriesClean[GDP_USD],"&gt;"&amp;tblCountriesClean[[#This Row],[GDP_USD]],tblCountriesClean[Data_Quality_Status],"&lt;&gt;CHECK"))</f>
        <v>93</v>
      </c>
      <c r="K179" s="40">
        <f>IF(tblCountriesClean[[#This Row],[Data_Quality_Status]]="CHECK","",IFERROR(tblCountriesClean[[#This Row],[GDP_USD]]/tblCountriesClean[[#This Row],[Population]],""))</f>
        <v>3139.9597401028172</v>
      </c>
      <c r="L179" s="40">
        <f>IF(tblCountriesClean[[#This Row],[Data_Quality_Status]]="CHECK","",IFERROR(tblCountriesClean[[#This Row],[Population]]/tblCountriesClean[[#This Row],[Area_km2]],""))</f>
        <v>75.521771285373759</v>
      </c>
      <c r="M179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80" spans="1:13">
      <c r="A180" s="31">
        <v>179</v>
      </c>
      <c r="B180" s="32" t="str">
        <f>_xlfn.XLOOKUP(tblCountriesClean[[#This Row],[Record_ID]],tblCountriesRaw[index],tblCountriesRaw[country],"Check")</f>
        <v>Turkey</v>
      </c>
      <c r="C180" s="36" t="str" cm="1">
        <f t="array" ref="C180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TR</v>
      </c>
      <c r="D180" s="37" cm="1">
        <f t="array" ref="D180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783562</v>
      </c>
      <c r="E180" s="38" cm="1">
        <f t="array" ref="E180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90</v>
      </c>
      <c r="F180" s="36" t="str" cm="1">
        <f t="array" ref="F180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Ankara</v>
      </c>
      <c r="G180" s="37" cm="1">
        <f t="array" ref="G180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754411708203</v>
      </c>
      <c r="H180" s="37" cm="1">
        <f t="array" ref="H180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85341241</v>
      </c>
      <c r="I180" s="39" cm="1">
        <f t="array" ref="I180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0.13</v>
      </c>
      <c r="J180" s="36">
        <f>IF(tblCountriesClean[[#This Row],[Data_Quality_Status]]="CHECK","",1+COUNTIFS(tblCountriesClean[GDP_USD],"&gt;"&amp;tblCountriesClean[[#This Row],[GDP_USD]],tblCountriesClean[Data_Quality_Status],"&lt;&gt;CHECK"))</f>
        <v>19</v>
      </c>
      <c r="K180" s="40">
        <f>IF(tblCountriesClean[[#This Row],[Data_Quality_Status]]="CHECK","",IFERROR(tblCountriesClean[[#This Row],[GDP_USD]]/tblCountriesClean[[#This Row],[Population]],""))</f>
        <v>8839.9430259398268</v>
      </c>
      <c r="L180" s="40">
        <f>IF(tblCountriesClean[[#This Row],[Data_Quality_Status]]="CHECK","",IFERROR(tblCountriesClean[[#This Row],[Population]]/tblCountriesClean[[#This Row],[Area_km2]],""))</f>
        <v>108.91447135006547</v>
      </c>
      <c r="M180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81" spans="1:13">
      <c r="A181" s="31">
        <v>180</v>
      </c>
      <c r="B181" s="32" t="str">
        <f>_xlfn.XLOOKUP(tblCountriesClean[[#This Row],[Record_ID]],tblCountriesRaw[index],tblCountriesRaw[country],"Check")</f>
        <v>Turkmenistan</v>
      </c>
      <c r="C181" s="36" t="str" cm="1">
        <f t="array" ref="C181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TM</v>
      </c>
      <c r="D181" s="37" cm="1">
        <f t="array" ref="D181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491210</v>
      </c>
      <c r="E181" s="38" cm="1">
        <f t="array" ref="E181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993</v>
      </c>
      <c r="F181" s="36" t="str" cm="1">
        <f t="array" ref="F181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Ashgabat</v>
      </c>
      <c r="G181" s="37" cm="1">
        <f t="array" ref="G181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40761142857</v>
      </c>
      <c r="H181" s="37" cm="1">
        <f t="array" ref="H181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6430770</v>
      </c>
      <c r="I181" s="39" cm="1">
        <f t="array" ref="I181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0.04</v>
      </c>
      <c r="J181" s="36">
        <f>IF(tblCountriesClean[[#This Row],[Data_Quality_Status]]="CHECK","",1+COUNTIFS(tblCountriesClean[GDP_USD],"&gt;"&amp;tblCountriesClean[[#This Row],[GDP_USD]],tblCountriesClean[Data_Quality_Status],"&lt;&gt;CHECK"))</f>
        <v>90</v>
      </c>
      <c r="K181" s="40">
        <f>IF(tblCountriesClean[[#This Row],[Data_Quality_Status]]="CHECK","",IFERROR(tblCountriesClean[[#This Row],[GDP_USD]]/tblCountriesClean[[#This Row],[Population]],""))</f>
        <v>6338.4544707709965</v>
      </c>
      <c r="L181" s="40">
        <f>IF(tblCountriesClean[[#This Row],[Data_Quality_Status]]="CHECK","",IFERROR(tblCountriesClean[[#This Row],[Population]]/tblCountriesClean[[#This Row],[Area_km2]],""))</f>
        <v>13.091691944382239</v>
      </c>
      <c r="M181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82" spans="1:13">
      <c r="A182" s="31">
        <v>181</v>
      </c>
      <c r="B182" s="32" t="str">
        <f>_xlfn.XLOOKUP(tblCountriesClean[[#This Row],[Record_ID]],tblCountriesRaw[index],tblCountriesRaw[country],"Check")</f>
        <v>Tuvalu</v>
      </c>
      <c r="C182" s="36" t="str" cm="1">
        <f t="array" ref="C182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TV</v>
      </c>
      <c r="D182" s="37" cm="1">
        <f t="array" ref="D182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26</v>
      </c>
      <c r="E182" s="38" cm="1">
        <f t="array" ref="E182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688</v>
      </c>
      <c r="F182" s="36" t="str" cm="1">
        <f t="array" ref="F182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Funafuti</v>
      </c>
      <c r="G182" s="37" cm="1">
        <f t="array" ref="G182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47271463</v>
      </c>
      <c r="H182" s="37" cm="1">
        <f t="array" ref="H182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11312</v>
      </c>
      <c r="I182" s="39" cm="1">
        <f t="array" ref="I182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0.04</v>
      </c>
      <c r="J182" s="36">
        <f>IF(tblCountriesClean[[#This Row],[Data_Quality_Status]]="CHECK","",1+COUNTIFS(tblCountriesClean[GDP_USD],"&gt;"&amp;tblCountriesClean[[#This Row],[GDP_USD]],tblCountriesClean[Data_Quality_Status],"&lt;&gt;CHECK"))</f>
        <v>193</v>
      </c>
      <c r="K182" s="40">
        <f>IF(tblCountriesClean[[#This Row],[Data_Quality_Status]]="CHECK","",IFERROR(tblCountriesClean[[#This Row],[GDP_USD]]/tblCountriesClean[[#This Row],[Population]],""))</f>
        <v>4178.8775636492219</v>
      </c>
      <c r="L182" s="40">
        <f>IF(tblCountriesClean[[#This Row],[Data_Quality_Status]]="CHECK","",IFERROR(tblCountriesClean[[#This Row],[Population]]/tblCountriesClean[[#This Row],[Area_km2]],""))</f>
        <v>435.07692307692309</v>
      </c>
      <c r="M182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83" spans="1:13">
      <c r="A183" s="31">
        <v>182</v>
      </c>
      <c r="B183" s="32" t="str">
        <f>_xlfn.XLOOKUP(tblCountriesClean[[#This Row],[Record_ID]],tblCountriesRaw[index],tblCountriesRaw[country],"Check")</f>
        <v>Uganda</v>
      </c>
      <c r="C183" s="36" t="str" cm="1">
        <f t="array" ref="C183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UG</v>
      </c>
      <c r="D183" s="37" cm="1">
        <f t="array" ref="D183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241038</v>
      </c>
      <c r="E183" s="38" cm="1">
        <f t="array" ref="E183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256</v>
      </c>
      <c r="F183" s="36" t="str" cm="1">
        <f t="array" ref="F183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Kampala</v>
      </c>
      <c r="G183" s="37" cm="1">
        <f t="array" ref="G183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34387229486</v>
      </c>
      <c r="H183" s="37" cm="1">
        <f t="array" ref="H183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47249585</v>
      </c>
      <c r="I183" s="39" cm="1">
        <f t="array" ref="I183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0.04</v>
      </c>
      <c r="J183" s="36">
        <f>IF(tblCountriesClean[[#This Row],[Data_Quality_Status]]="CHECK","",1+COUNTIFS(tblCountriesClean[GDP_USD],"&gt;"&amp;tblCountriesClean[[#This Row],[GDP_USD]],tblCountriesClean[Data_Quality_Status],"&lt;&gt;CHECK"))</f>
        <v>97</v>
      </c>
      <c r="K183" s="40">
        <f>IF(tblCountriesClean[[#This Row],[Data_Quality_Status]]="CHECK","",IFERROR(tblCountriesClean[[#This Row],[GDP_USD]]/tblCountriesClean[[#This Row],[Population]],""))</f>
        <v>727.77844474189567</v>
      </c>
      <c r="L183" s="40">
        <f>IF(tblCountriesClean[[#This Row],[Data_Quality_Status]]="CHECK","",IFERROR(tblCountriesClean[[#This Row],[Population]]/tblCountriesClean[[#This Row],[Area_km2]],""))</f>
        <v>196.02546071573778</v>
      </c>
      <c r="M183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84" spans="1:13">
      <c r="A184" s="31">
        <v>183</v>
      </c>
      <c r="B184" s="32" t="str">
        <f>_xlfn.XLOOKUP(tblCountriesClean[[#This Row],[Record_ID]],tblCountriesRaw[index],tblCountriesRaw[country],"Check")</f>
        <v>Ukraine</v>
      </c>
      <c r="C184" s="36" t="str" cm="1">
        <f t="array" ref="C184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UA</v>
      </c>
      <c r="D184" s="37" cm="1">
        <f t="array" ref="D184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603550</v>
      </c>
      <c r="E184" s="38" cm="1">
        <f t="array" ref="E184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380</v>
      </c>
      <c r="F184" s="36" t="str" cm="1">
        <f t="array" ref="F184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Kyiv</v>
      </c>
      <c r="G184" s="37" cm="1">
        <f t="array" ref="G184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153781069118</v>
      </c>
      <c r="H184" s="37" cm="1">
        <f t="array" ref="H184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38000000</v>
      </c>
      <c r="I184" s="39" cm="1">
        <f t="array" ref="I184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0.09</v>
      </c>
      <c r="J184" s="36">
        <f>IF(tblCountriesClean[[#This Row],[Data_Quality_Status]]="CHECK","",1+COUNTIFS(tblCountriesClean[GDP_USD],"&gt;"&amp;tblCountriesClean[[#This Row],[GDP_USD]],tblCountriesClean[Data_Quality_Status],"&lt;&gt;CHECK"))</f>
        <v>57</v>
      </c>
      <c r="K184" s="40">
        <f>IF(tblCountriesClean[[#This Row],[Data_Quality_Status]]="CHECK","",IFERROR(tblCountriesClean[[#This Row],[GDP_USD]]/tblCountriesClean[[#This Row],[Population]],""))</f>
        <v>4046.8702399473686</v>
      </c>
      <c r="L184" s="40">
        <f>IF(tblCountriesClean[[#This Row],[Data_Quality_Status]]="CHECK","",IFERROR(tblCountriesClean[[#This Row],[Population]]/tblCountriesClean[[#This Row],[Area_km2]],""))</f>
        <v>62.960815176870184</v>
      </c>
      <c r="M184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85" spans="1:13">
      <c r="A185" s="31">
        <v>184</v>
      </c>
      <c r="B185" s="32" t="str">
        <f>_xlfn.XLOOKUP(tblCountriesClean[[#This Row],[Record_ID]],tblCountriesRaw[index],tblCountriesRaw[country],"Check")</f>
        <v>United Arab Emirates</v>
      </c>
      <c r="C185" s="36" t="str" cm="1">
        <f t="array" ref="C185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AE</v>
      </c>
      <c r="D185" s="37" cm="1">
        <f t="array" ref="D185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83600</v>
      </c>
      <c r="E185" s="38" cm="1">
        <f t="array" ref="E185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971</v>
      </c>
      <c r="F185" s="36" t="str" cm="1">
        <f t="array" ref="F185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Abu Dhabi</v>
      </c>
      <c r="G185" s="37" cm="1">
        <f t="array" ref="G185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421142267938</v>
      </c>
      <c r="H185" s="37" cm="1">
        <f t="array" ref="H185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9441129</v>
      </c>
      <c r="I185" s="39" cm="1">
        <f t="array" ref="I185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0.02</v>
      </c>
      <c r="J185" s="36">
        <f>IF(tblCountriesClean[[#This Row],[Data_Quality_Status]]="CHECK","",1+COUNTIFS(tblCountriesClean[GDP_USD],"&gt;"&amp;tblCountriesClean[[#This Row],[GDP_USD]],tblCountriesClean[Data_Quality_Status],"&lt;&gt;CHECK"))</f>
        <v>30</v>
      </c>
      <c r="K185" s="40">
        <f>IF(tblCountriesClean[[#This Row],[Data_Quality_Status]]="CHECK","",IFERROR(tblCountriesClean[[#This Row],[GDP_USD]]/tblCountriesClean[[#This Row],[Population]],""))</f>
        <v>44607.193476331064</v>
      </c>
      <c r="L185" s="40">
        <f>IF(tblCountriesClean[[#This Row],[Data_Quality_Status]]="CHECK","",IFERROR(tblCountriesClean[[#This Row],[Population]]/tblCountriesClean[[#This Row],[Area_km2]],""))</f>
        <v>112.93216507177034</v>
      </c>
      <c r="M185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86" spans="1:13">
      <c r="A186" s="31">
        <v>185</v>
      </c>
      <c r="B186" s="32" t="str">
        <f>_xlfn.XLOOKUP(tblCountriesClean[[#This Row],[Record_ID]],tblCountriesRaw[index],tblCountriesRaw[country],"Check")</f>
        <v>United Kingdom</v>
      </c>
      <c r="C186" s="36" t="str" cm="1">
        <f t="array" ref="C186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GB</v>
      </c>
      <c r="D186" s="37" cm="1">
        <f t="array" ref="D186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242495</v>
      </c>
      <c r="E186" s="38" cm="1">
        <f t="array" ref="E186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44</v>
      </c>
      <c r="F186" s="36" t="str" cm="1">
        <f t="array" ref="F186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London</v>
      </c>
      <c r="G186" s="37" cm="1">
        <f t="array" ref="G186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2827113184696</v>
      </c>
      <c r="H186" s="37" cm="1">
        <f t="array" ref="H186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66971411</v>
      </c>
      <c r="I186" s="39" cm="1">
        <f t="array" ref="I186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0.04</v>
      </c>
      <c r="J186" s="36">
        <f>IF(tblCountriesClean[[#This Row],[Data_Quality_Status]]="CHECK","",1+COUNTIFS(tblCountriesClean[GDP_USD],"&gt;"&amp;tblCountriesClean[[#This Row],[GDP_USD]],tblCountriesClean[Data_Quality_Status],"&lt;&gt;CHECK"))</f>
        <v>5</v>
      </c>
      <c r="K186" s="40">
        <f>IF(tblCountriesClean[[#This Row],[Data_Quality_Status]]="CHECK","",IFERROR(tblCountriesClean[[#This Row],[GDP_USD]]/tblCountriesClean[[#This Row],[Population]],""))</f>
        <v>42213.731836947562</v>
      </c>
      <c r="L186" s="40">
        <f>IF(tblCountriesClean[[#This Row],[Data_Quality_Status]]="CHECK","",IFERROR(tblCountriesClean[[#This Row],[Population]]/tblCountriesClean[[#This Row],[Area_km2]],""))</f>
        <v>276.17646137033751</v>
      </c>
      <c r="M186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87" spans="1:13">
      <c r="A187" s="31">
        <v>186</v>
      </c>
      <c r="B187" s="32" t="str">
        <f>_xlfn.XLOOKUP(tblCountriesClean[[#This Row],[Record_ID]],tblCountriesRaw[index],tblCountriesRaw[country],"Check")</f>
        <v>United States</v>
      </c>
      <c r="C187" s="36" t="str" cm="1">
        <f t="array" ref="C187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US</v>
      </c>
      <c r="D187" s="37" cm="1">
        <f t="array" ref="D187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9826675</v>
      </c>
      <c r="E187" s="38" cm="1">
        <f t="array" ref="E187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1</v>
      </c>
      <c r="F187" s="36" t="str" cm="1">
        <f t="array" ref="F187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Washington, D.C.</v>
      </c>
      <c r="G187" s="37" cm="1">
        <f t="array" ref="G187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21427700000000</v>
      </c>
      <c r="H187" s="37" cm="1">
        <f t="array" ref="H187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333287557</v>
      </c>
      <c r="I187" s="39" cm="1">
        <f t="array" ref="I187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0.15</v>
      </c>
      <c r="J187" s="36">
        <f>IF(tblCountriesClean[[#This Row],[Data_Quality_Status]]="CHECK","",1+COUNTIFS(tblCountriesClean[GDP_USD],"&gt;"&amp;tblCountriesClean[[#This Row],[GDP_USD]],tblCountriesClean[Data_Quality_Status],"&lt;&gt;CHECK"))</f>
        <v>1</v>
      </c>
      <c r="K187" s="40">
        <f>IF(tblCountriesClean[[#This Row],[Data_Quality_Status]]="CHECK","",IFERROR(tblCountriesClean[[#This Row],[GDP_USD]]/tblCountriesClean[[#This Row],[Population]],""))</f>
        <v>64291.929146337738</v>
      </c>
      <c r="L187" s="40">
        <f>IF(tblCountriesClean[[#This Row],[Data_Quality_Status]]="CHECK","",IFERROR(tblCountriesClean[[#This Row],[Population]]/tblCountriesClean[[#This Row],[Area_km2]],""))</f>
        <v>33.916615437062895</v>
      </c>
      <c r="M187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88" spans="1:13">
      <c r="A188" s="31">
        <v>187</v>
      </c>
      <c r="B188" s="32" t="str">
        <f>_xlfn.XLOOKUP(tblCountriesClean[[#This Row],[Record_ID]],tblCountriesRaw[index],tblCountriesRaw[country],"Check")</f>
        <v>Uruguay</v>
      </c>
      <c r="C188" s="36" t="str" cm="1">
        <f t="array" ref="C188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UY</v>
      </c>
      <c r="D188" s="37" cm="1">
        <f t="array" ref="D188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176215</v>
      </c>
      <c r="E188" s="38" cm="1">
        <f t="array" ref="E188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598</v>
      </c>
      <c r="F188" s="36" t="str" cm="1">
        <f t="array" ref="F188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Montevideo</v>
      </c>
      <c r="G188" s="37" cm="1">
        <f t="array" ref="G188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56045912952</v>
      </c>
      <c r="H188" s="37" cm="1">
        <f t="array" ref="H188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3422794</v>
      </c>
      <c r="I188" s="39" cm="1">
        <f t="array" ref="I188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0.09</v>
      </c>
      <c r="J188" s="36">
        <f>IF(tblCountriesClean[[#This Row],[Data_Quality_Status]]="CHECK","",1+COUNTIFS(tblCountriesClean[GDP_USD],"&gt;"&amp;tblCountriesClean[[#This Row],[GDP_USD]],tblCountriesClean[Data_Quality_Status],"&lt;&gt;CHECK"))</f>
        <v>81</v>
      </c>
      <c r="K188" s="40">
        <f>IF(tblCountriesClean[[#This Row],[Data_Quality_Status]]="CHECK","",IFERROR(tblCountriesClean[[#This Row],[GDP_USD]]/tblCountriesClean[[#This Row],[Population]],""))</f>
        <v>16374.316699164483</v>
      </c>
      <c r="L188" s="40">
        <f>IF(tblCountriesClean[[#This Row],[Data_Quality_Status]]="CHECK","",IFERROR(tblCountriesClean[[#This Row],[Population]]/tblCountriesClean[[#This Row],[Area_km2]],""))</f>
        <v>19.423965042703514</v>
      </c>
      <c r="M188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89" spans="1:13">
      <c r="A189" s="31">
        <v>188</v>
      </c>
      <c r="B189" s="32" t="str">
        <f>_xlfn.XLOOKUP(tblCountriesClean[[#This Row],[Record_ID]],tblCountriesRaw[index],tblCountriesRaw[country],"Check")</f>
        <v>Uzbekistan</v>
      </c>
      <c r="C189" s="36" t="str" cm="1">
        <f t="array" ref="C189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UZ</v>
      </c>
      <c r="D189" s="37" cm="1">
        <f t="array" ref="D189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448978</v>
      </c>
      <c r="E189" s="38" cm="1">
        <f t="array" ref="E189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998</v>
      </c>
      <c r="F189" s="36" t="str" cm="1">
        <f t="array" ref="F189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Tashkent</v>
      </c>
      <c r="G189" s="37" cm="1">
        <f t="array" ref="G189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57921286440</v>
      </c>
      <c r="H189" s="37" cm="1">
        <f t="array" ref="H189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35648100</v>
      </c>
      <c r="I189" s="39" cm="1">
        <f t="array" ref="I189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0.06</v>
      </c>
      <c r="J189" s="36">
        <f>IF(tblCountriesClean[[#This Row],[Data_Quality_Status]]="CHECK","",1+COUNTIFS(tblCountriesClean[GDP_USD],"&gt;"&amp;tblCountriesClean[[#This Row],[GDP_USD]],tblCountriesClean[Data_Quality_Status],"&lt;&gt;CHECK"))</f>
        <v>80</v>
      </c>
      <c r="K189" s="40">
        <f>IF(tblCountriesClean[[#This Row],[Data_Quality_Status]]="CHECK","",IFERROR(tblCountriesClean[[#This Row],[GDP_USD]]/tblCountriesClean[[#This Row],[Population]],""))</f>
        <v>1624.807112861555</v>
      </c>
      <c r="L189" s="40">
        <f>IF(tblCountriesClean[[#This Row],[Data_Quality_Status]]="CHECK","",IFERROR(tblCountriesClean[[#This Row],[Population]]/tblCountriesClean[[#This Row],[Area_km2]],""))</f>
        <v>79.398322412234009</v>
      </c>
      <c r="M189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90" spans="1:13">
      <c r="A190" s="31">
        <v>189</v>
      </c>
      <c r="B190" s="32" t="str">
        <f>_xlfn.XLOOKUP(tblCountriesClean[[#This Row],[Record_ID]],tblCountriesRaw[index],tblCountriesRaw[country],"Check")</f>
        <v>Vanuatu</v>
      </c>
      <c r="C190" s="36" t="str" cm="1">
        <f t="array" ref="C190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VU</v>
      </c>
      <c r="D190" s="37" cm="1">
        <f t="array" ref="D190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12190</v>
      </c>
      <c r="E190" s="38" cm="1">
        <f t="array" ref="E190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678</v>
      </c>
      <c r="F190" s="36" t="str" cm="1">
        <f t="array" ref="F190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Port Vila</v>
      </c>
      <c r="G190" s="37" cm="1">
        <f t="array" ref="G190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917058851</v>
      </c>
      <c r="H190" s="37" cm="1">
        <f t="array" ref="H190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326740</v>
      </c>
      <c r="I190" s="39" cm="1">
        <f t="array" ref="I190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0.04</v>
      </c>
      <c r="J190" s="36">
        <f>IF(tblCountriesClean[[#This Row],[Data_Quality_Status]]="CHECK","",1+COUNTIFS(tblCountriesClean[GDP_USD],"&gt;"&amp;tblCountriesClean[[#This Row],[GDP_USD]],tblCountriesClean[Data_Quality_Status],"&lt;&gt;CHECK"))</f>
        <v>182</v>
      </c>
      <c r="K190" s="40">
        <f>IF(tblCountriesClean[[#This Row],[Data_Quality_Status]]="CHECK","",IFERROR(tblCountriesClean[[#This Row],[GDP_USD]]/tblCountriesClean[[#This Row],[Population]],""))</f>
        <v>2806.6929393401483</v>
      </c>
      <c r="L190" s="40">
        <f>IF(tblCountriesClean[[#This Row],[Data_Quality_Status]]="CHECK","",IFERROR(tblCountriesClean[[#This Row],[Population]]/tblCountriesClean[[#This Row],[Area_km2]],""))</f>
        <v>26.803937653814604</v>
      </c>
      <c r="M190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91" spans="1:13">
      <c r="A191" s="31">
        <v>190</v>
      </c>
      <c r="B191" s="32" t="str">
        <f>_xlfn.XLOOKUP(tblCountriesClean[[#This Row],[Record_ID]],tblCountriesRaw[index],tblCountriesRaw[country],"Check")</f>
        <v>Vatican City</v>
      </c>
      <c r="C191" s="36" t="str" cm="1">
        <f t="array" ref="C191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UY</v>
      </c>
      <c r="D191" s="37" cm="1">
        <f t="array" ref="D191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176215</v>
      </c>
      <c r="E191" s="38" cm="1">
        <f t="array" ref="E191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598</v>
      </c>
      <c r="F191" s="36" t="str" cm="1">
        <f t="array" ref="F191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Montevideo</v>
      </c>
      <c r="G191" s="37" cm="1">
        <f t="array" ref="G191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56045912952</v>
      </c>
      <c r="H191" s="37" cm="1">
        <f t="array" ref="H191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3422794</v>
      </c>
      <c r="I191" s="39" cm="1">
        <f t="array" ref="I191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0.09</v>
      </c>
      <c r="J191" s="36" t="str">
        <f>IF(tblCountriesClean[[#This Row],[Data_Quality_Status]]="CHECK","",1+COUNTIFS(tblCountriesClean[GDP_USD],"&gt;"&amp;tblCountriesClean[[#This Row],[GDP_USD]],tblCountriesClean[Data_Quality_Status],"&lt;&gt;CHECK"))</f>
        <v/>
      </c>
      <c r="K191" s="40" t="str">
        <f>IF(tblCountriesClean[[#This Row],[Data_Quality_Status]]="CHECK","",IFERROR(tblCountriesClean[[#This Row],[GDP_USD]]/tblCountriesClean[[#This Row],[Population]],""))</f>
        <v/>
      </c>
      <c r="L191" s="40" t="str">
        <f>IF(tblCountriesClean[[#This Row],[Data_Quality_Status]]="CHECK","",IFERROR(tblCountriesClean[[#This Row],[Population]]/tblCountriesClean[[#This Row],[Area_km2]],""))</f>
        <v/>
      </c>
      <c r="M191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CHECK</v>
      </c>
    </row>
    <row r="192" spans="1:13">
      <c r="A192" s="31">
        <v>191</v>
      </c>
      <c r="B192" s="32" t="str">
        <f>_xlfn.XLOOKUP(tblCountriesClean[[#This Row],[Record_ID]],tblCountriesRaw[index],tblCountriesRaw[country],"Check")</f>
        <v>Venezuela</v>
      </c>
      <c r="C192" s="36" t="str" cm="1">
        <f t="array" ref="C192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VE</v>
      </c>
      <c r="D192" s="37" cm="1">
        <f t="array" ref="D192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912050</v>
      </c>
      <c r="E192" s="38" cm="1">
        <f t="array" ref="E192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58</v>
      </c>
      <c r="F192" s="36" t="str" cm="1">
        <f t="array" ref="F192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Caracas</v>
      </c>
      <c r="G192" s="37" cm="1">
        <f t="array" ref="G192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482359318768</v>
      </c>
      <c r="H192" s="37" cm="1">
        <f t="array" ref="H192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28301696</v>
      </c>
      <c r="I192" s="39" cm="1">
        <f t="array" ref="I192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0.09</v>
      </c>
      <c r="J192" s="36">
        <f>IF(tblCountriesClean[[#This Row],[Data_Quality_Status]]="CHECK","",1+COUNTIFS(tblCountriesClean[GDP_USD],"&gt;"&amp;tblCountriesClean[[#This Row],[GDP_USD]],tblCountriesClean[Data_Quality_Status],"&lt;&gt;CHECK"))</f>
        <v>25</v>
      </c>
      <c r="K192" s="40">
        <f>IF(tblCountriesClean[[#This Row],[Data_Quality_Status]]="CHECK","",IFERROR(tblCountriesClean[[#This Row],[GDP_USD]]/tblCountriesClean[[#This Row],[Population]],""))</f>
        <v>17043.477492232269</v>
      </c>
      <c r="L192" s="40">
        <f>IF(tblCountriesClean[[#This Row],[Data_Quality_Status]]="CHECK","",IFERROR(tblCountriesClean[[#This Row],[Population]]/tblCountriesClean[[#This Row],[Area_km2]],""))</f>
        <v>31.030860150211062</v>
      </c>
      <c r="M192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93" spans="1:13">
      <c r="A193" s="31">
        <v>192</v>
      </c>
      <c r="B193" s="32" t="str">
        <f>_xlfn.XLOOKUP(tblCountriesClean[[#This Row],[Record_ID]],tblCountriesRaw[index],tblCountriesRaw[country],"Check")</f>
        <v>Vietnam</v>
      </c>
      <c r="C193" s="36" t="str" cm="1">
        <f t="array" ref="C193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VN</v>
      </c>
      <c r="D193" s="37" cm="1">
        <f t="array" ref="D193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331690</v>
      </c>
      <c r="E193" s="38" cm="1">
        <f t="array" ref="E193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84</v>
      </c>
      <c r="F193" s="36" t="str" cm="1">
        <f t="array" ref="F193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Hanoi</v>
      </c>
      <c r="G193" s="37" cm="1">
        <f t="array" ref="G193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261921244843</v>
      </c>
      <c r="H193" s="37" cm="1">
        <f t="array" ref="H193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98186856</v>
      </c>
      <c r="I193" s="39" cm="1">
        <f t="array" ref="I193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0.02</v>
      </c>
      <c r="J193" s="36">
        <f>IF(tblCountriesClean[[#This Row],[Data_Quality_Status]]="CHECK","",1+COUNTIFS(tblCountriesClean[GDP_USD],"&gt;"&amp;tblCountriesClean[[#This Row],[GDP_USD]],tblCountriesClean[Data_Quality_Status],"&lt;&gt;CHECK"))</f>
        <v>45</v>
      </c>
      <c r="K193" s="40">
        <f>IF(tblCountriesClean[[#This Row],[Data_Quality_Status]]="CHECK","",IFERROR(tblCountriesClean[[#This Row],[GDP_USD]]/tblCountriesClean[[#This Row],[Population]],""))</f>
        <v>2667.5795061917452</v>
      </c>
      <c r="L193" s="40">
        <f>IF(tblCountriesClean[[#This Row],[Data_Quality_Status]]="CHECK","",IFERROR(tblCountriesClean[[#This Row],[Population]]/tblCountriesClean[[#This Row],[Area_km2]],""))</f>
        <v>296.0199463354337</v>
      </c>
      <c r="M193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94" spans="1:13">
      <c r="A194" s="31">
        <v>193</v>
      </c>
      <c r="B194" s="32" t="str">
        <f>_xlfn.XLOOKUP(tblCountriesClean[[#This Row],[Record_ID]],tblCountriesRaw[index],tblCountriesRaw[country],"Check")</f>
        <v>Yemen</v>
      </c>
      <c r="C194" s="36" t="str" cm="1">
        <f t="array" ref="C194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YE</v>
      </c>
      <c r="D194" s="37" cm="1">
        <f t="array" ref="D194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555000</v>
      </c>
      <c r="E194" s="38" cm="1">
        <f t="array" ref="E194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967</v>
      </c>
      <c r="F194" s="36" t="str" cm="1">
        <f t="array" ref="F194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Sanaa</v>
      </c>
      <c r="G194" s="37" cm="1">
        <f t="array" ref="G194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26914402224</v>
      </c>
      <c r="H194" s="37" cm="1">
        <f t="array" ref="H194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33696614</v>
      </c>
      <c r="I194" s="39" cm="1">
        <f t="array" ref="I194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0.13</v>
      </c>
      <c r="J194" s="36">
        <f>IF(tblCountriesClean[[#This Row],[Data_Quality_Status]]="CHECK","",1+COUNTIFS(tblCountriesClean[GDP_USD],"&gt;"&amp;tblCountriesClean[[#This Row],[GDP_USD]],tblCountriesClean[Data_Quality_Status],"&lt;&gt;CHECK"))</f>
        <v>104</v>
      </c>
      <c r="K194" s="40">
        <f>IF(tblCountriesClean[[#This Row],[Data_Quality_Status]]="CHECK","",IFERROR(tblCountriesClean[[#This Row],[GDP_USD]]/tblCountriesClean[[#This Row],[Population]],""))</f>
        <v>798.72720220494557</v>
      </c>
      <c r="L194" s="40">
        <f>IF(tblCountriesClean[[#This Row],[Data_Quality_Status]]="CHECK","",IFERROR(tblCountriesClean[[#This Row],[Population]]/tblCountriesClean[[#This Row],[Area_km2]],""))</f>
        <v>60.714619819819816</v>
      </c>
      <c r="M194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95" spans="1:13">
      <c r="A195" s="31">
        <v>194</v>
      </c>
      <c r="B195" s="32" t="str">
        <f>_xlfn.XLOOKUP(tblCountriesClean[[#This Row],[Record_ID]],tblCountriesRaw[index],tblCountriesRaw[country],"Check")</f>
        <v>Zambia</v>
      </c>
      <c r="C195" s="36" t="str" cm="1">
        <f t="array" ref="C195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ZM</v>
      </c>
      <c r="D195" s="37" cm="1">
        <f t="array" ref="D195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752618</v>
      </c>
      <c r="E195" s="38" cm="1">
        <f t="array" ref="E195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260</v>
      </c>
      <c r="F195" s="36" t="str" cm="1">
        <f t="array" ref="F195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Lusaka</v>
      </c>
      <c r="G195" s="37" cm="1">
        <f t="array" ref="G195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23064722446</v>
      </c>
      <c r="H195" s="37" cm="1">
        <f t="array" ref="H195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20017675</v>
      </c>
      <c r="I195" s="39" cm="1">
        <f t="array" ref="I195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0.11</v>
      </c>
      <c r="J195" s="36">
        <f>IF(tblCountriesClean[[#This Row],[Data_Quality_Status]]="CHECK","",1+COUNTIFS(tblCountriesClean[GDP_USD],"&gt;"&amp;tblCountriesClean[[#This Row],[GDP_USD]],tblCountriesClean[Data_Quality_Status],"&lt;&gt;CHECK"))</f>
        <v>111</v>
      </c>
      <c r="K195" s="40">
        <f>IF(tblCountriesClean[[#This Row],[Data_Quality_Status]]="CHECK","",IFERROR(tblCountriesClean[[#This Row],[GDP_USD]]/tblCountriesClean[[#This Row],[Population]],""))</f>
        <v>1152.2178497752611</v>
      </c>
      <c r="L195" s="40">
        <f>IF(tblCountriesClean[[#This Row],[Data_Quality_Status]]="CHECK","",IFERROR(tblCountriesClean[[#This Row],[Population]]/tblCountriesClean[[#This Row],[Area_km2]],""))</f>
        <v>26.597390708168021</v>
      </c>
      <c r="M195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  <row r="196" spans="1:13">
      <c r="A196" s="31">
        <v>195</v>
      </c>
      <c r="B196" s="32" t="str">
        <f>_xlfn.XLOOKUP(tblCountriesClean[[#This Row],[Record_ID]],tblCountriesRaw[index],tblCountriesRaw[country],"Check")</f>
        <v>Zimbabwe</v>
      </c>
      <c r="C196" s="36" t="str" cm="1">
        <f t="array" ref="C196">_xlfn.IFNA(_xlfn.XLOOKUP(1,(tblCorrections[Record_ID]=tblCountriesClean[[#This Row],[Record_ID]])*(tblCorrections[Field]="ISO2_Code"),tblCorrections[Corrected_Value]),_xlfn.XLOOKUP(tblCountriesClean[[#This Row],[Record_ID]],tblCountriesRaw[index],tblCountriesRaw[Abbreviation],""))</f>
        <v>ZW</v>
      </c>
      <c r="D196" s="37" cm="1">
        <f t="array" ref="D196">_xlfn.IFNA(--_xlfn.XLOOKUP(1,(tblCorrections[Record_ID]=tblCountriesClean[[#This Row],[Record_ID]])*(tblCorrections[Field]="Area_km2"),tblCorrections[Corrected_Value]),_xlfn.XLOOKUP(tblCountriesClean[[#This Row],[Record_ID]],tblCountriesRaw[index],tblCountriesRaw[Area],""))</f>
        <v>390757</v>
      </c>
      <c r="E196" s="38" cm="1">
        <f t="array" ref="E196">_xlfn.IFNA(--_xlfn.XLOOKUP(1,(tblCorrections[Record_ID]=tblCountriesClean[[#This Row],[Record_ID]])*(tblCorrections[Field]="Calling_Code"),tblCorrections[Corrected_Value]),_xlfn.XLOOKUP(tblCountriesClean[[#This Row],[Record_ID]],tblCountriesRaw[index],tblCountriesRaw[Calling code],""))</f>
        <v>263</v>
      </c>
      <c r="F196" s="36" t="str" cm="1">
        <f t="array" ref="F196">_xlfn.IFNA(_xlfn.XLOOKUP(1,(tblCorrections[Record_ID]=tblCountriesClean[[#This Row],[Record_ID]])*(tblCorrections[Field]="Capital"),tblCorrections[Corrected_Value]),_xlfn.XLOOKUP(tblCountriesClean[[#This Row],[Record_ID]],tblCountriesRaw[index],tblCountriesRaw[Capital/Major City],""))</f>
        <v>Harare</v>
      </c>
      <c r="G196" s="37" cm="1">
        <f t="array" ref="G196">_xlfn.IFNA(--_xlfn.XLOOKUP(1,(tblCorrections[Record_ID]=tblCountriesClean[[#This Row],[Record_ID]])*(tblCorrections[Field]="GDP_USD"),tblCorrections[Corrected_Value]),_xlfn.XLOOKUP(tblCountriesClean[[#This Row],[Record_ID]],tblCountriesRaw[index],tblCountriesRaw[GDP],""))</f>
        <v>21440758800</v>
      </c>
      <c r="H196" s="37" cm="1">
        <f t="array" ref="H196">_xlfn.IFNA(--_xlfn.XLOOKUP(1,(tblCorrections[Record_ID]=tblCountriesClean[[#This Row],[Record_ID]])*(tblCorrections[Field]="Population"),tblCorrections[Corrected_Value]),_xlfn.XLOOKUP(tblCountriesClean[[#This Row],[Record_ID]],tblCountriesRaw[index],tblCountriesRaw[Population],""))</f>
        <v>16320537</v>
      </c>
      <c r="I196" s="39" cm="1">
        <f t="array" ref="I196">_xlfn.IFNA(--_xlfn.XLOOKUP(1,(tblCorrections[Record_ID]=tblCountriesClean[[#This Row],[Record_ID]])*(tblCorrections[Field]="Unemployment_Rate"),tblCorrections[Corrected_Value]),_xlfn.XLOOKUP(tblCountriesClean[[#This Row],[Record_ID]],tblCountriesRaw[index],tblCountriesRaw[Unemployment rate],""))</f>
        <v>0.05</v>
      </c>
      <c r="J196" s="36">
        <f>IF(tblCountriesClean[[#This Row],[Data_Quality_Status]]="CHECK","",1+COUNTIFS(tblCountriesClean[GDP_USD],"&gt;"&amp;tblCountriesClean[[#This Row],[GDP_USD]],tblCountriesClean[Data_Quality_Status],"&lt;&gt;CHECK"))</f>
        <v>112</v>
      </c>
      <c r="K196" s="40">
        <f>IF(tblCountriesClean[[#This Row],[Data_Quality_Status]]="CHECK","",IFERROR(tblCountriesClean[[#This Row],[GDP_USD]]/tblCountriesClean[[#This Row],[Population]],""))</f>
        <v>1313.728757822123</v>
      </c>
      <c r="L196" s="40">
        <f>IF(tblCountriesClean[[#This Row],[Data_Quality_Status]]="CHECK","",IFERROR(tblCountriesClean[[#This Row],[Population]]/tblCountriesClean[[#This Row],[Area_km2]],""))</f>
        <v>41.766460997499728</v>
      </c>
      <c r="M196" s="36" t="str">
        <f>IFERROR(IF(OR(tblCountriesClean[[#This Row],[Country]]="",tblCountriesClean[[#This Row],[ISO2_Code]]="",LEN(tblCountriesClean[[#This Row],[ISO2_Code]])&lt;&gt;2,NOT(ISNUMBER(tblCountriesClean[[#This Row],[Area_km2]])),tblCountriesClean[[#This Row],[Area_km2]]&lt;=0,tblCountriesClean[[#This Row],[Calling_Code]]="",tblCountriesClean[[#This Row],[Capital]]="",NOT(ISNUMBER(tblCountriesClean[[#This Row],[GDP_USD]])),tblCountriesClean[[#This Row],[GDP_USD]]&lt;=0,NOT(ISNUMBER(tblCountriesClean[[#This Row],[Population]])),tblCountriesClean[[#This Row],[Population]]&lt;=0,NOT(ISNUMBER(tblCountriesClean[[#This Row],[Unemployment_Rate]])),tblCountriesClean[[#This Row],[Unemployment_Rate]]&lt;0,tblCountriesClean[[#This Row],[Unemployment_Rate]]&gt;1,COUNTIFS(tblCountriesClean[ISO2_Code],tblCountriesClean[[#This Row],[ISO2_Code]],tblCountriesClean[Record_ID],"&lt;"&amp;tblCountriesClean[[#This Row],[Record_ID]])&gt;0),"CHECK",IF(COUNTIFS(tblCorrections[Record_ID],tblCountriesClean[[#This Row],[Record_ID]],tblCorrections[Corrected_Value],"&lt;&gt;")&gt;0,"CORRECTED","PASS")),"CHECK")</f>
        <v>PASS</v>
      </c>
    </row>
  </sheetData>
  <conditionalFormatting sqref="M1:M1048576">
    <cfRule type="containsText" dxfId="7" priority="1" operator="containsText" text="CHECK">
      <formula>NOT(ISERROR(SEARCH("CHECK",M1)))</formula>
    </cfRule>
    <cfRule type="containsText" dxfId="6" priority="2" operator="containsText" text="CORRECTED">
      <formula>NOT(ISERROR(SEARCH("CORRECTED",M1)))</formula>
    </cfRule>
    <cfRule type="containsText" dxfId="5" priority="3" operator="containsText" text="Pass">
      <formula>NOT(ISERROR(SEARCH("Pass",M1)))</formula>
    </cfRule>
  </conditionalFormatting>
  <hyperlinks>
    <hyperlink ref="S5" r:id="rId1" xr:uid="{D62F7561-0C62-4532-A082-C907F3809C1A}"/>
    <hyperlink ref="S8" r:id="rId2" xr:uid="{79FA1CCE-9112-42F5-8C39-6907CA67BF1B}"/>
  </hyperlinks>
  <pageMargins left="0.7" right="0.7" top="0.75" bottom="0.75" header="0.3" footer="0.3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35589-C1E6-4188-A067-F4BADC223B62}">
  <dimension ref="A1:P193"/>
  <sheetViews>
    <sheetView showGridLines="0" zoomScale="85" zoomScaleNormal="85" workbookViewId="0">
      <selection sqref="A1:F1"/>
    </sheetView>
  </sheetViews>
  <sheetFormatPr defaultColWidth="0" defaultRowHeight="15.6"/>
  <cols>
    <col min="1" max="1" width="9" style="36" customWidth="1"/>
    <col min="2" max="2" width="14" style="76" customWidth="1"/>
    <col min="3" max="3" width="21.75" style="36" bestFit="1" customWidth="1"/>
    <col min="4" max="7" width="9" style="36" customWidth="1"/>
    <col min="8" max="15" width="9" style="36" hidden="1"/>
    <col min="16" max="16" width="17.5" style="36" hidden="1"/>
    <col min="17" max="16384" width="9" style="36" hidden="1"/>
  </cols>
  <sheetData>
    <row r="1" spans="1:16" ht="23.4">
      <c r="A1" s="103" t="s">
        <v>610</v>
      </c>
      <c r="B1" s="103"/>
      <c r="C1" s="103"/>
      <c r="D1" s="103"/>
      <c r="E1" s="103"/>
      <c r="F1" s="103"/>
      <c r="P1" s="36" t="str" cm="1">
        <f t="array" ref="P1:P193">_xlfn._xlws.SORT(_xlfn._xlws.FILTER(tblCountriesClean[Country],tblCountriesClean[Data_Quality_Status]&lt;&gt;"CHECK"))</f>
        <v>Afghanistan</v>
      </c>
    </row>
    <row r="2" spans="1:16">
      <c r="A2" s="23" t="s">
        <v>611</v>
      </c>
      <c r="B2" s="23"/>
      <c r="C2" s="23"/>
      <c r="D2" s="23"/>
      <c r="E2" s="23"/>
      <c r="F2" s="23"/>
      <c r="P2" s="36" t="str">
        <v>Albania</v>
      </c>
    </row>
    <row r="3" spans="1:16">
      <c r="A3" s="24" t="s">
        <v>612</v>
      </c>
      <c r="B3" s="24"/>
      <c r="C3" s="47" t="s">
        <v>434</v>
      </c>
      <c r="P3" s="36" t="str">
        <v>Algeria</v>
      </c>
    </row>
    <row r="4" spans="1:16">
      <c r="P4" s="36" t="str">
        <v>Andorra</v>
      </c>
    </row>
    <row r="5" spans="1:16">
      <c r="I5" s="25"/>
      <c r="J5" s="25"/>
      <c r="P5" s="36" t="str">
        <v>Angola</v>
      </c>
    </row>
    <row r="6" spans="1:16">
      <c r="B6" s="22" t="s">
        <v>614</v>
      </c>
      <c r="C6" s="22" t="s">
        <v>634</v>
      </c>
      <c r="I6" s="32"/>
      <c r="P6" s="36" t="str">
        <v>Antigua and Barbuda</v>
      </c>
    </row>
    <row r="7" spans="1:16">
      <c r="B7" s="48" t="s">
        <v>615</v>
      </c>
      <c r="C7" s="26" t="str">
        <f>IF($C$3="","",_xlfn.XLOOKUP($C$3,tblCountriesClean[Country],tblCountriesClean[ISO2_Code],"Not found"))</f>
        <v>KN</v>
      </c>
      <c r="I7" s="32"/>
      <c r="P7" s="36" t="str">
        <v>Argentina</v>
      </c>
    </row>
    <row r="8" spans="1:16">
      <c r="B8" s="48" t="s">
        <v>593</v>
      </c>
      <c r="C8" s="26" t="str">
        <f>IF($C$3="","",_xlfn.XLOOKUP($C$3,tblCountriesClean[Country],tblCountriesClean[Capital],"Not found"))</f>
        <v>Basseterre</v>
      </c>
      <c r="I8" s="32"/>
      <c r="P8" s="36" t="str">
        <v>Armenia</v>
      </c>
    </row>
    <row r="9" spans="1:16">
      <c r="B9" s="48" t="s">
        <v>616</v>
      </c>
      <c r="C9" s="27">
        <f>IF($C$3="","",_xlfn.XLOOKUP($C$3,tblCountriesClean[Country],tblCountriesClean[Area_km2],"Not found"))</f>
        <v>269</v>
      </c>
      <c r="I9" s="32"/>
      <c r="P9" s="36" t="str">
        <v>Australia</v>
      </c>
    </row>
    <row r="10" spans="1:16" ht="33" customHeight="1">
      <c r="B10" s="48" t="s">
        <v>617</v>
      </c>
      <c r="C10" s="28" t="str">
        <f>IF($C$3="","",IFERROR("+"&amp;_xlfn.XLOOKUP($C$3,tblCountriesClean[Country],tblCountriesClean[Calling_Code]),"Not found"))</f>
        <v>+1869</v>
      </c>
      <c r="I10" s="32"/>
      <c r="P10" s="36" t="str">
        <v>Austria</v>
      </c>
    </row>
    <row r="11" spans="1:16">
      <c r="B11" s="48" t="s">
        <v>618</v>
      </c>
      <c r="C11" s="27">
        <f>IF($C$3="","",_xlfn.XLOOKUP($C$3,tblCountriesClean[Country],tblCountriesClean[GDP_USD],"Not found"))</f>
        <v>1050992593</v>
      </c>
      <c r="I11" s="32"/>
      <c r="P11" s="36" t="str">
        <v>Azerbaijan</v>
      </c>
    </row>
    <row r="12" spans="1:16">
      <c r="B12" s="48" t="s">
        <v>7</v>
      </c>
      <c r="C12" s="27">
        <f>IF($C$3="","",_xlfn.XLOOKUP($C$3,tblCountriesClean[Country],tblCountriesClean[Population],"Not found"))</f>
        <v>47657</v>
      </c>
      <c r="I12" s="32"/>
      <c r="P12" s="36" t="str">
        <v>Bahrain</v>
      </c>
    </row>
    <row r="13" spans="1:16" ht="28.8">
      <c r="B13" s="48" t="s">
        <v>619</v>
      </c>
      <c r="C13" s="29">
        <f>IF($C$3="","",_xlfn.XLOOKUP($C$3,tblCountriesClean[Country],tblCountriesClean[Unemployment_Rate],"Not found"))</f>
        <v>0.01</v>
      </c>
      <c r="I13" s="32"/>
      <c r="P13" s="36" t="str">
        <v>Bangladesh</v>
      </c>
    </row>
    <row r="14" spans="1:16">
      <c r="B14" s="48" t="s">
        <v>620</v>
      </c>
      <c r="C14" s="28">
        <f>IF($C$3="","",_xlfn.XLOOKUP($C$3,tblCountriesClean[Country],tblCountriesClean[GDP_Rank],"Not found"))</f>
        <v>181</v>
      </c>
      <c r="I14" s="32"/>
      <c r="P14" s="36" t="str">
        <v>Barbados</v>
      </c>
    </row>
    <row r="15" spans="1:16" ht="28.8">
      <c r="B15" s="48" t="s">
        <v>621</v>
      </c>
      <c r="C15" s="30">
        <f>IF($C$3="","",_xlfn.XLOOKUP($C$3,tblCountriesClean[Country],tblCountriesClean[GDP_per_Capita],"Not found"))</f>
        <v>22053.26799840527</v>
      </c>
      <c r="I15" s="32"/>
      <c r="P15" s="36" t="str">
        <v>Belarus</v>
      </c>
    </row>
    <row r="16" spans="1:16" ht="28.8">
      <c r="B16" s="48" t="s">
        <v>622</v>
      </c>
      <c r="C16" s="30">
        <f>IF($C$3="","",_xlfn.XLOOKUP($C$3,tblCountriesClean[Country],tblCountriesClean[Population_Density],"Not found"))</f>
        <v>177.1635687732342</v>
      </c>
      <c r="I16" s="32"/>
      <c r="P16" s="36" t="str">
        <v>Belgium</v>
      </c>
    </row>
    <row r="17" spans="2:16" ht="39.6" customHeight="1">
      <c r="B17" s="48" t="s">
        <v>623</v>
      </c>
      <c r="C17" s="28" t="str">
        <f>IF($C$3="","",_xlfn.XLOOKUP($C$3,tblCountriesClean[Country],tblCountriesClean[Data_Quality_Status],"Not found"))</f>
        <v>PASS</v>
      </c>
      <c r="I17" s="32"/>
      <c r="P17" s="36" t="str">
        <v>Belize</v>
      </c>
    </row>
    <row r="18" spans="2:16">
      <c r="P18" s="36" t="str">
        <v>Benin</v>
      </c>
    </row>
    <row r="19" spans="2:16">
      <c r="P19" s="36" t="str">
        <v>Bhutan</v>
      </c>
    </row>
    <row r="20" spans="2:16">
      <c r="P20" s="36" t="str">
        <v>Bolivia</v>
      </c>
    </row>
    <row r="21" spans="2:16">
      <c r="P21" s="36" t="str">
        <v>Bosnia and Herzegovina</v>
      </c>
    </row>
    <row r="22" spans="2:16">
      <c r="P22" s="36" t="str">
        <v>Botswana</v>
      </c>
    </row>
    <row r="23" spans="2:16">
      <c r="P23" s="36" t="str">
        <v>Brazil</v>
      </c>
    </row>
    <row r="24" spans="2:16">
      <c r="P24" s="36" t="str">
        <v>Brunei</v>
      </c>
    </row>
    <row r="25" spans="2:16">
      <c r="P25" s="36" t="str">
        <v>Bulgaria</v>
      </c>
    </row>
    <row r="26" spans="2:16">
      <c r="P26" s="36" t="str">
        <v>Burkina Faso</v>
      </c>
    </row>
    <row r="27" spans="2:16">
      <c r="P27" s="36" t="str">
        <v>Burundi</v>
      </c>
    </row>
    <row r="28" spans="2:16">
      <c r="P28" s="36" t="str">
        <v>Cambodia</v>
      </c>
    </row>
    <row r="29" spans="2:16">
      <c r="P29" s="36" t="str">
        <v>Cameroon</v>
      </c>
    </row>
    <row r="30" spans="2:16">
      <c r="P30" s="36" t="str">
        <v>Canada</v>
      </c>
    </row>
    <row r="31" spans="2:16">
      <c r="P31" s="36" t="str">
        <v>Cape Verde</v>
      </c>
    </row>
    <row r="32" spans="2:16">
      <c r="P32" s="36" t="str">
        <v>Central African Republic</v>
      </c>
    </row>
    <row r="33" spans="16:16">
      <c r="P33" s="36" t="str">
        <v>Chad</v>
      </c>
    </row>
    <row r="34" spans="16:16">
      <c r="P34" s="36" t="str">
        <v>Chile</v>
      </c>
    </row>
    <row r="35" spans="16:16">
      <c r="P35" s="36" t="str">
        <v>China</v>
      </c>
    </row>
    <row r="36" spans="16:16">
      <c r="P36" s="36" t="str">
        <v>Colombia</v>
      </c>
    </row>
    <row r="37" spans="16:16">
      <c r="P37" s="36" t="str">
        <v>Comoros</v>
      </c>
    </row>
    <row r="38" spans="16:16">
      <c r="P38" s="36" t="str">
        <v>Costa Rica</v>
      </c>
    </row>
    <row r="39" spans="16:16">
      <c r="P39" s="36" t="str">
        <v>Croatia</v>
      </c>
    </row>
    <row r="40" spans="16:16">
      <c r="P40" s="36" t="str">
        <v>Cuba</v>
      </c>
    </row>
    <row r="41" spans="16:16">
      <c r="P41" s="36" t="str">
        <v>Cyprus</v>
      </c>
    </row>
    <row r="42" spans="16:16">
      <c r="P42" s="36" t="str">
        <v>Czech Republic</v>
      </c>
    </row>
    <row r="43" spans="16:16">
      <c r="P43" s="36" t="str">
        <v>Democratic Republic of the Congo</v>
      </c>
    </row>
    <row r="44" spans="16:16">
      <c r="P44" s="36" t="str">
        <v>Denmark</v>
      </c>
    </row>
    <row r="45" spans="16:16">
      <c r="P45" s="36" t="str">
        <v>Djibouti</v>
      </c>
    </row>
    <row r="46" spans="16:16">
      <c r="P46" s="36" t="str">
        <v>Dominica</v>
      </c>
    </row>
    <row r="47" spans="16:16">
      <c r="P47" s="36" t="str">
        <v>Dominican Republic</v>
      </c>
    </row>
    <row r="48" spans="16:16">
      <c r="P48" s="36" t="str">
        <v>Ecuador</v>
      </c>
    </row>
    <row r="49" spans="16:16">
      <c r="P49" s="36" t="str">
        <v>Egypt</v>
      </c>
    </row>
    <row r="50" spans="16:16">
      <c r="P50" s="36" t="str">
        <v>El Salvador</v>
      </c>
    </row>
    <row r="51" spans="16:16">
      <c r="P51" s="36" t="str">
        <v>Equatorial Guinea</v>
      </c>
    </row>
    <row r="52" spans="16:16">
      <c r="P52" s="36" t="str">
        <v>Eritrea</v>
      </c>
    </row>
    <row r="53" spans="16:16">
      <c r="P53" s="36" t="str">
        <v>Estonia</v>
      </c>
    </row>
    <row r="54" spans="16:16">
      <c r="P54" s="36" t="str">
        <v>Eswatini</v>
      </c>
    </row>
    <row r="55" spans="16:16">
      <c r="P55" s="36" t="str">
        <v>Ethiopia</v>
      </c>
    </row>
    <row r="56" spans="16:16">
      <c r="P56" s="36" t="str">
        <v>Federated States of Micronesia</v>
      </c>
    </row>
    <row r="57" spans="16:16">
      <c r="P57" s="36" t="str">
        <v>Fiji</v>
      </c>
    </row>
    <row r="58" spans="16:16">
      <c r="P58" s="36" t="str">
        <v>Finland</v>
      </c>
    </row>
    <row r="59" spans="16:16">
      <c r="P59" s="36" t="str">
        <v>France</v>
      </c>
    </row>
    <row r="60" spans="16:16">
      <c r="P60" s="36" t="str">
        <v>Gabon</v>
      </c>
    </row>
    <row r="61" spans="16:16">
      <c r="P61" s="36" t="str">
        <v>Georgia</v>
      </c>
    </row>
    <row r="62" spans="16:16">
      <c r="P62" s="36" t="str">
        <v>Germany</v>
      </c>
    </row>
    <row r="63" spans="16:16">
      <c r="P63" s="36" t="str">
        <v>Ghana</v>
      </c>
    </row>
    <row r="64" spans="16:16">
      <c r="P64" s="36" t="str">
        <v>Greece</v>
      </c>
    </row>
    <row r="65" spans="16:16">
      <c r="P65" s="36" t="str">
        <v>Grenada</v>
      </c>
    </row>
    <row r="66" spans="16:16">
      <c r="P66" s="36" t="str">
        <v>Guatemala</v>
      </c>
    </row>
    <row r="67" spans="16:16">
      <c r="P67" s="36" t="str">
        <v>Guinea</v>
      </c>
    </row>
    <row r="68" spans="16:16">
      <c r="P68" s="36" t="str">
        <v>Guinea-Bissau</v>
      </c>
    </row>
    <row r="69" spans="16:16">
      <c r="P69" s="36" t="str">
        <v>Guyana</v>
      </c>
    </row>
    <row r="70" spans="16:16">
      <c r="P70" s="36" t="str">
        <v>Haiti</v>
      </c>
    </row>
    <row r="71" spans="16:16">
      <c r="P71" s="36" t="str">
        <v>Honduras</v>
      </c>
    </row>
    <row r="72" spans="16:16">
      <c r="P72" s="36" t="str">
        <v>Hungary</v>
      </c>
    </row>
    <row r="73" spans="16:16">
      <c r="P73" s="36" t="str">
        <v>Iceland</v>
      </c>
    </row>
    <row r="74" spans="16:16">
      <c r="P74" s="36" t="str">
        <v>India</v>
      </c>
    </row>
    <row r="75" spans="16:16">
      <c r="P75" s="36" t="str">
        <v>Indonesia</v>
      </c>
    </row>
    <row r="76" spans="16:16">
      <c r="P76" s="36" t="str">
        <v>Iran</v>
      </c>
    </row>
    <row r="77" spans="16:16">
      <c r="P77" s="36" t="str">
        <v>Iraq</v>
      </c>
    </row>
    <row r="78" spans="16:16">
      <c r="P78" s="36" t="str">
        <v>Israel</v>
      </c>
    </row>
    <row r="79" spans="16:16">
      <c r="P79" s="36" t="str">
        <v>Italy</v>
      </c>
    </row>
    <row r="80" spans="16:16">
      <c r="P80" s="36" t="str">
        <v>Ivory Coast</v>
      </c>
    </row>
    <row r="81" spans="16:16">
      <c r="P81" s="36" t="str">
        <v>Jamaica</v>
      </c>
    </row>
    <row r="82" spans="16:16">
      <c r="P82" s="36" t="str">
        <v>Japan</v>
      </c>
    </row>
    <row r="83" spans="16:16">
      <c r="P83" s="36" t="str">
        <v>Jordan</v>
      </c>
    </row>
    <row r="84" spans="16:16">
      <c r="P84" s="36" t="str">
        <v>Kazakhstan</v>
      </c>
    </row>
    <row r="85" spans="16:16">
      <c r="P85" s="36" t="str">
        <v>Kenya</v>
      </c>
    </row>
    <row r="86" spans="16:16">
      <c r="P86" s="36" t="str">
        <v>Kiribati</v>
      </c>
    </row>
    <row r="87" spans="16:16">
      <c r="P87" s="36" t="str">
        <v>Kuwait</v>
      </c>
    </row>
    <row r="88" spans="16:16">
      <c r="P88" s="36" t="str">
        <v>Kyrgyzstan</v>
      </c>
    </row>
    <row r="89" spans="16:16">
      <c r="P89" s="36" t="str">
        <v>Laos</v>
      </c>
    </row>
    <row r="90" spans="16:16">
      <c r="P90" s="36" t="str">
        <v>Latvia</v>
      </c>
    </row>
    <row r="91" spans="16:16">
      <c r="P91" s="36" t="str">
        <v>Lebanon</v>
      </c>
    </row>
    <row r="92" spans="16:16">
      <c r="P92" s="36" t="str">
        <v>Lesotho</v>
      </c>
    </row>
    <row r="93" spans="16:16">
      <c r="P93" s="36" t="str">
        <v>Liberia</v>
      </c>
    </row>
    <row r="94" spans="16:16">
      <c r="P94" s="36" t="str">
        <v>Libya</v>
      </c>
    </row>
    <row r="95" spans="16:16">
      <c r="P95" s="36" t="str">
        <v>Liechtenstein</v>
      </c>
    </row>
    <row r="96" spans="16:16">
      <c r="P96" s="36" t="str">
        <v>Lithuania</v>
      </c>
    </row>
    <row r="97" spans="16:16">
      <c r="P97" s="36" t="str">
        <v>Luxembourg</v>
      </c>
    </row>
    <row r="98" spans="16:16">
      <c r="P98" s="36" t="str">
        <v>Madagascar</v>
      </c>
    </row>
    <row r="99" spans="16:16">
      <c r="P99" s="36" t="str">
        <v>Malawi</v>
      </c>
    </row>
    <row r="100" spans="16:16">
      <c r="P100" s="36" t="str">
        <v>Malaysia</v>
      </c>
    </row>
    <row r="101" spans="16:16">
      <c r="P101" s="36" t="str">
        <v>Maldives</v>
      </c>
    </row>
    <row r="102" spans="16:16">
      <c r="P102" s="36" t="str">
        <v>Mali</v>
      </c>
    </row>
    <row r="103" spans="16:16">
      <c r="P103" s="36" t="str">
        <v>Malta</v>
      </c>
    </row>
    <row r="104" spans="16:16">
      <c r="P104" s="36" t="str">
        <v>Marshall Islands</v>
      </c>
    </row>
    <row r="105" spans="16:16">
      <c r="P105" s="36" t="str">
        <v>Mauritania</v>
      </c>
    </row>
    <row r="106" spans="16:16">
      <c r="P106" s="36" t="str">
        <v>Mauritius</v>
      </c>
    </row>
    <row r="107" spans="16:16">
      <c r="P107" s="36" t="str">
        <v>Mexico</v>
      </c>
    </row>
    <row r="108" spans="16:16">
      <c r="P108" s="36" t="str">
        <v>Moldova</v>
      </c>
    </row>
    <row r="109" spans="16:16">
      <c r="P109" s="36" t="str">
        <v>Monaco</v>
      </c>
    </row>
    <row r="110" spans="16:16">
      <c r="P110" s="36" t="str">
        <v>Mongolia</v>
      </c>
    </row>
    <row r="111" spans="16:16">
      <c r="P111" s="36" t="str">
        <v>Montenegro</v>
      </c>
    </row>
    <row r="112" spans="16:16">
      <c r="P112" s="36" t="str">
        <v>Morocco</v>
      </c>
    </row>
    <row r="113" spans="16:16">
      <c r="P113" s="36" t="str">
        <v>Mozambique</v>
      </c>
    </row>
    <row r="114" spans="16:16">
      <c r="P114" s="36" t="str">
        <v>Myanmar</v>
      </c>
    </row>
    <row r="115" spans="16:16">
      <c r="P115" s="36" t="str">
        <v>Namibia</v>
      </c>
    </row>
    <row r="116" spans="16:16">
      <c r="P116" s="36" t="str">
        <v>Nauru</v>
      </c>
    </row>
    <row r="117" spans="16:16">
      <c r="P117" s="36" t="str">
        <v>Nepal</v>
      </c>
    </row>
    <row r="118" spans="16:16">
      <c r="P118" s="36" t="str">
        <v>Netherlands</v>
      </c>
    </row>
    <row r="119" spans="16:16">
      <c r="P119" s="36" t="str">
        <v>New Zealand</v>
      </c>
    </row>
    <row r="120" spans="16:16">
      <c r="P120" s="36" t="str">
        <v>Nicaragua</v>
      </c>
    </row>
    <row r="121" spans="16:16">
      <c r="P121" s="36" t="str">
        <v>Niger</v>
      </c>
    </row>
    <row r="122" spans="16:16">
      <c r="P122" s="36" t="str">
        <v>Nigeria</v>
      </c>
    </row>
    <row r="123" spans="16:16">
      <c r="P123" s="36" t="str">
        <v>North Korea</v>
      </c>
    </row>
    <row r="124" spans="16:16">
      <c r="P124" s="36" t="str">
        <v>North Macedonia</v>
      </c>
    </row>
    <row r="125" spans="16:16">
      <c r="P125" s="36" t="str">
        <v>Norway</v>
      </c>
    </row>
    <row r="126" spans="16:16">
      <c r="P126" s="36" t="str">
        <v>Oman</v>
      </c>
    </row>
    <row r="127" spans="16:16">
      <c r="P127" s="36" t="str">
        <v>Pakistan</v>
      </c>
    </row>
    <row r="128" spans="16:16">
      <c r="P128" s="36" t="str">
        <v>Palau</v>
      </c>
    </row>
    <row r="129" spans="16:16">
      <c r="P129" s="36" t="str">
        <v>Panama</v>
      </c>
    </row>
    <row r="130" spans="16:16">
      <c r="P130" s="36" t="str">
        <v>Papua New Guinea</v>
      </c>
    </row>
    <row r="131" spans="16:16">
      <c r="P131" s="36" t="str">
        <v>Paraguay</v>
      </c>
    </row>
    <row r="132" spans="16:16">
      <c r="P132" s="36" t="str">
        <v>Peru</v>
      </c>
    </row>
    <row r="133" spans="16:16">
      <c r="P133" s="36" t="str">
        <v>Philippines</v>
      </c>
    </row>
    <row r="134" spans="16:16">
      <c r="P134" s="36" t="str">
        <v>Poland</v>
      </c>
    </row>
    <row r="135" spans="16:16">
      <c r="P135" s="36" t="str">
        <v>Portugal</v>
      </c>
    </row>
    <row r="136" spans="16:16">
      <c r="P136" s="36" t="str">
        <v>Qatar</v>
      </c>
    </row>
    <row r="137" spans="16:16">
      <c r="P137" s="36" t="str">
        <v>Republic of Ireland</v>
      </c>
    </row>
    <row r="138" spans="16:16">
      <c r="P138" s="36" t="str">
        <v>Republic of the Congo</v>
      </c>
    </row>
    <row r="139" spans="16:16">
      <c r="P139" s="36" t="str">
        <v>Romania</v>
      </c>
    </row>
    <row r="140" spans="16:16">
      <c r="P140" s="36" t="str">
        <v>Russia</v>
      </c>
    </row>
    <row r="141" spans="16:16">
      <c r="P141" s="36" t="str">
        <v>Rwanda</v>
      </c>
    </row>
    <row r="142" spans="16:16">
      <c r="P142" s="36" t="str">
        <v>Saint Kitts and Nevis</v>
      </c>
    </row>
    <row r="143" spans="16:16">
      <c r="P143" s="36" t="str">
        <v>Saint Lucia</v>
      </c>
    </row>
    <row r="144" spans="16:16">
      <c r="P144" s="36" t="str">
        <v>Saint Vincent and the Grenadines</v>
      </c>
    </row>
    <row r="145" spans="16:16">
      <c r="P145" s="36" t="str">
        <v>Samoa</v>
      </c>
    </row>
    <row r="146" spans="16:16">
      <c r="P146" s="36" t="str">
        <v>San Marino</v>
      </c>
    </row>
    <row r="147" spans="16:16">
      <c r="P147" s="36" t="str">
        <v>São Tomé and Príncipe</v>
      </c>
    </row>
    <row r="148" spans="16:16">
      <c r="P148" s="36" t="str">
        <v>Saudi Arabia</v>
      </c>
    </row>
    <row r="149" spans="16:16">
      <c r="P149" s="36" t="str">
        <v>Senegal</v>
      </c>
    </row>
    <row r="150" spans="16:16">
      <c r="P150" s="36" t="str">
        <v>Serbia</v>
      </c>
    </row>
    <row r="151" spans="16:16">
      <c r="P151" s="36" t="str">
        <v>Seychelles</v>
      </c>
    </row>
    <row r="152" spans="16:16">
      <c r="P152" s="36" t="str">
        <v>Sierra Leone</v>
      </c>
    </row>
    <row r="153" spans="16:16">
      <c r="P153" s="36" t="str">
        <v>Singapore</v>
      </c>
    </row>
    <row r="154" spans="16:16">
      <c r="P154" s="36" t="str">
        <v>Slovakia</v>
      </c>
    </row>
    <row r="155" spans="16:16">
      <c r="P155" s="36" t="str">
        <v>Slovenia</v>
      </c>
    </row>
    <row r="156" spans="16:16">
      <c r="P156" s="36" t="str">
        <v>Solomon Islands</v>
      </c>
    </row>
    <row r="157" spans="16:16">
      <c r="P157" s="36" t="str">
        <v>Somalia</v>
      </c>
    </row>
    <row r="158" spans="16:16">
      <c r="P158" s="36" t="str">
        <v>South Africa</v>
      </c>
    </row>
    <row r="159" spans="16:16">
      <c r="P159" s="36" t="str">
        <v>South Korea</v>
      </c>
    </row>
    <row r="160" spans="16:16">
      <c r="P160" s="36" t="str">
        <v>South Sudan</v>
      </c>
    </row>
    <row r="161" spans="16:16">
      <c r="P161" s="36" t="str">
        <v>Spain</v>
      </c>
    </row>
    <row r="162" spans="16:16">
      <c r="P162" s="36" t="str">
        <v>Sri Lanka</v>
      </c>
    </row>
    <row r="163" spans="16:16">
      <c r="P163" s="36" t="str">
        <v>Sudan</v>
      </c>
    </row>
    <row r="164" spans="16:16">
      <c r="P164" s="36" t="str">
        <v>Suriname</v>
      </c>
    </row>
    <row r="165" spans="16:16">
      <c r="P165" s="36" t="str">
        <v>Sweden</v>
      </c>
    </row>
    <row r="166" spans="16:16">
      <c r="P166" s="36" t="str">
        <v>Switzerland</v>
      </c>
    </row>
    <row r="167" spans="16:16">
      <c r="P167" s="36" t="str">
        <v>Syria</v>
      </c>
    </row>
    <row r="168" spans="16:16">
      <c r="P168" s="36" t="str">
        <v>Tajikistan</v>
      </c>
    </row>
    <row r="169" spans="16:16">
      <c r="P169" s="36" t="str">
        <v>Tanzania</v>
      </c>
    </row>
    <row r="170" spans="16:16">
      <c r="P170" s="36" t="str">
        <v>Thailand</v>
      </c>
    </row>
    <row r="171" spans="16:16">
      <c r="P171" s="36" t="str">
        <v>The Bahamas</v>
      </c>
    </row>
    <row r="172" spans="16:16">
      <c r="P172" s="36" t="str">
        <v>The Gambia</v>
      </c>
    </row>
    <row r="173" spans="16:16">
      <c r="P173" s="36" t="str">
        <v>Timor-Leste</v>
      </c>
    </row>
    <row r="174" spans="16:16">
      <c r="P174" s="36" t="str">
        <v>Togo</v>
      </c>
    </row>
    <row r="175" spans="16:16">
      <c r="P175" s="36" t="str">
        <v>Tonga</v>
      </c>
    </row>
    <row r="176" spans="16:16">
      <c r="P176" s="36" t="str">
        <v>Trinidad and Tobago</v>
      </c>
    </row>
    <row r="177" spans="16:16">
      <c r="P177" s="36" t="str">
        <v>Tunisia</v>
      </c>
    </row>
    <row r="178" spans="16:16">
      <c r="P178" s="36" t="str">
        <v>Turkey</v>
      </c>
    </row>
    <row r="179" spans="16:16">
      <c r="P179" s="36" t="str">
        <v>Turkmenistan</v>
      </c>
    </row>
    <row r="180" spans="16:16">
      <c r="P180" s="36" t="str">
        <v>Tuvalu</v>
      </c>
    </row>
    <row r="181" spans="16:16">
      <c r="P181" s="36" t="str">
        <v>Uganda</v>
      </c>
    </row>
    <row r="182" spans="16:16">
      <c r="P182" s="36" t="str">
        <v>Ukraine</v>
      </c>
    </row>
    <row r="183" spans="16:16">
      <c r="P183" s="36" t="str">
        <v>United Arab Emirates</v>
      </c>
    </row>
    <row r="184" spans="16:16">
      <c r="P184" s="36" t="str">
        <v>United Kingdom</v>
      </c>
    </row>
    <row r="185" spans="16:16">
      <c r="P185" s="36" t="str">
        <v>United States</v>
      </c>
    </row>
    <row r="186" spans="16:16">
      <c r="P186" s="36" t="str">
        <v>Uruguay</v>
      </c>
    </row>
    <row r="187" spans="16:16">
      <c r="P187" s="36" t="str">
        <v>Uzbekistan</v>
      </c>
    </row>
    <row r="188" spans="16:16">
      <c r="P188" s="36" t="str">
        <v>Vanuatu</v>
      </c>
    </row>
    <row r="189" spans="16:16">
      <c r="P189" s="36" t="str">
        <v>Venezuela</v>
      </c>
    </row>
    <row r="190" spans="16:16">
      <c r="P190" s="36" t="str">
        <v>Vietnam</v>
      </c>
    </row>
    <row r="191" spans="16:16">
      <c r="P191" s="36" t="str">
        <v>Yemen</v>
      </c>
    </row>
    <row r="192" spans="16:16">
      <c r="P192" s="36" t="str">
        <v>Zambia</v>
      </c>
    </row>
    <row r="193" spans="16:16">
      <c r="P193" s="36" t="str">
        <v>Zimbabwe</v>
      </c>
    </row>
  </sheetData>
  <mergeCells count="3">
    <mergeCell ref="A1:F1"/>
    <mergeCell ref="A2:F2"/>
    <mergeCell ref="A3:B3"/>
  </mergeCells>
  <conditionalFormatting sqref="C17">
    <cfRule type="containsText" dxfId="4" priority="1" operator="containsText" text="CORRECTED">
      <formula>NOT(ISERROR(SEARCH("CORRECTED",C17)))</formula>
    </cfRule>
    <cfRule type="containsText" dxfId="3" priority="2" operator="containsText" text="Checked">
      <formula>NOT(ISERROR(SEARCH("Checked",C17)))</formula>
    </cfRule>
    <cfRule type="containsText" dxfId="2" priority="3" operator="containsText" text="Pass">
      <formula>NOT(ISERROR(SEARCH("Pass",C17)))</formula>
    </cfRule>
  </conditionalFormatting>
  <dataValidations count="1">
    <dataValidation type="list" allowBlank="1" showInputMessage="1" showErrorMessage="1" sqref="C3" xr:uid="{0ED643DA-AA30-4305-9CF3-D2FA1093ED93}">
      <formula1>_xlfn.ANCHORARRAY($P$1)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C7808-9431-430B-B29C-07B7E7D4A57B}">
  <dimension ref="A1:X194"/>
  <sheetViews>
    <sheetView showGridLines="0" zoomScale="94" workbookViewId="0">
      <pane ySplit="5" topLeftCell="A6" activePane="bottomLeft" state="frozen"/>
      <selection pane="bottomLeft" sqref="A1:K1"/>
    </sheetView>
  </sheetViews>
  <sheetFormatPr defaultRowHeight="15.6"/>
  <cols>
    <col min="1" max="1" width="23.875" style="1" customWidth="1"/>
    <col min="2" max="2" width="16.625" style="1" customWidth="1"/>
    <col min="3" max="3" width="14.25" style="3" customWidth="1"/>
    <col min="4" max="4" width="9" style="1"/>
    <col min="5" max="5" width="17.625" style="1" bestFit="1" customWidth="1"/>
    <col min="6" max="6" width="24.75" style="1" bestFit="1" customWidth="1"/>
    <col min="7" max="7" width="24.75" style="4" bestFit="1" customWidth="1"/>
    <col min="8" max="8" width="9" style="1"/>
    <col min="9" max="9" width="15.375" style="5" bestFit="1" customWidth="1"/>
    <col min="10" max="10" width="21" style="1" bestFit="1" customWidth="1"/>
    <col min="11" max="11" width="21" style="4" bestFit="1" customWidth="1"/>
    <col min="12" max="23" width="9" style="1"/>
    <col min="24" max="24" width="0" style="1" hidden="1" customWidth="1"/>
    <col min="25" max="16384" width="9" style="1"/>
  </cols>
  <sheetData>
    <row r="1" spans="1:24" ht="23.4">
      <c r="A1" s="102" t="s">
        <v>624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X1" s="1" t="s">
        <v>613</v>
      </c>
    </row>
    <row r="2" spans="1:24">
      <c r="A2" s="2" t="s">
        <v>625</v>
      </c>
      <c r="B2" s="2"/>
      <c r="C2" s="2"/>
      <c r="D2" s="2"/>
      <c r="E2" s="2"/>
      <c r="F2" s="2"/>
      <c r="G2" s="2"/>
      <c r="H2" s="2"/>
      <c r="I2" s="2"/>
      <c r="J2" s="2"/>
      <c r="K2" s="2"/>
      <c r="X2" s="1" t="str" cm="1">
        <f t="array" ref="X2:X194">_xlfn._xlws.SORT(_xlfn._xlws.FILTER(tblCountriesClean[Country],tblCountriesClean[Data_Quality_Status]&lt;&gt;"CHECK"))</f>
        <v>Afghanistan</v>
      </c>
    </row>
    <row r="3" spans="1:24">
      <c r="X3" s="1" t="str">
        <v>Albania</v>
      </c>
    </row>
    <row r="4" spans="1:24" ht="42.6" customHeight="1">
      <c r="A4" s="6" t="s">
        <v>626</v>
      </c>
      <c r="B4" s="6"/>
      <c r="C4" s="6"/>
      <c r="E4" s="6" t="s">
        <v>627</v>
      </c>
      <c r="F4" s="6"/>
      <c r="G4" s="6"/>
      <c r="I4" s="6" t="s">
        <v>629</v>
      </c>
      <c r="J4" s="6"/>
      <c r="K4" s="6"/>
      <c r="X4" s="1" t="str">
        <v>Algeria</v>
      </c>
    </row>
    <row r="5" spans="1:24" ht="31.2">
      <c r="A5" s="7" t="s">
        <v>585</v>
      </c>
      <c r="B5" s="7" t="s">
        <v>593</v>
      </c>
      <c r="C5" s="8" t="s">
        <v>619</v>
      </c>
      <c r="E5" s="9" t="s">
        <v>628</v>
      </c>
      <c r="F5" s="10">
        <f>AVERAGEIFS(tblCountriesClean[GDP_USD],tblCountriesClean[Data_Quality_Status],"&lt;&gt;CHECK")</f>
        <v>477295901399.53888</v>
      </c>
      <c r="I5" s="11" t="s">
        <v>633</v>
      </c>
      <c r="J5" s="12" t="s">
        <v>238</v>
      </c>
      <c r="X5" s="1" t="str">
        <v>Andorra</v>
      </c>
    </row>
    <row r="6" spans="1:24" ht="31.2">
      <c r="A6" s="13" t="str" cm="1">
        <f t="array" ref="A6:C160">IFERROR(_xlfn._xlws.SORT(_xlfn._xlws.FILTER(CHOOSE({1,2,3},tblCountriesClean[Country],tblCountriesClean[Capital],tblCountriesClean[Unemployment_Rate]),(tblCountriesClean[Unemployment_Rate]&lt;=10%)*(tblCountriesClean[Data_Quality_Status]&lt;&gt;"CHECK")),3,1),"No results")</f>
        <v>Niger</v>
      </c>
      <c r="B6" s="14" t="str">
        <v>Niamey</v>
      </c>
      <c r="C6" s="15">
        <v>0</v>
      </c>
      <c r="E6" s="5"/>
      <c r="I6" s="7" t="s">
        <v>630</v>
      </c>
      <c r="J6" s="16">
        <f>IF($J$5="","",_xlfn.XLOOKUP($J$5,tblCountriesClean[Country],tblCountriesClean[GDP_USD],"Not found"))</f>
        <v>445345282123</v>
      </c>
      <c r="X6" s="1" t="str">
        <v>Angola</v>
      </c>
    </row>
    <row r="7" spans="1:24">
      <c r="A7" s="13" t="str">
        <v>Bahrain</v>
      </c>
      <c r="B7" s="14" t="str">
        <v>Manama</v>
      </c>
      <c r="C7" s="15">
        <v>0.01</v>
      </c>
      <c r="E7" s="17" t="s">
        <v>585</v>
      </c>
      <c r="F7" s="17" t="s">
        <v>593</v>
      </c>
      <c r="G7" s="18" t="s">
        <v>618</v>
      </c>
      <c r="X7" s="1" t="str">
        <v>Antigua and Barbuda</v>
      </c>
    </row>
    <row r="8" spans="1:24">
      <c r="A8" s="14" t="str">
        <v>Burundi</v>
      </c>
      <c r="B8" s="14" t="str">
        <v>Gitega</v>
      </c>
      <c r="C8" s="15">
        <v>0.01</v>
      </c>
      <c r="E8" s="19" t="str" cm="1">
        <f t="array" ref="E8:G32">IFERROR(_xlfn._xlws.SORT(_xlfn._xlws.FILTER(CHOOSE({1,2,3},tblCountriesClean[Country],tblCountriesClean[Capital],tblCountriesClean[GDP_USD]),(tblCountriesClean[GDP_USD]&gt;$F$5)*(tblCountriesClean[Data_Quality_Status]&lt;&gt;"CHECK")),3,-1),"No results")</f>
        <v>United States</v>
      </c>
      <c r="F8" s="19" t="str">
        <v>Washington, D.C.</v>
      </c>
      <c r="G8" s="20">
        <v>21427700000000</v>
      </c>
      <c r="I8" s="13" t="s">
        <v>585</v>
      </c>
      <c r="J8" s="13" t="s">
        <v>632</v>
      </c>
      <c r="K8" s="21" t="s">
        <v>631</v>
      </c>
      <c r="X8" s="1" t="str">
        <v>Argentina</v>
      </c>
    </row>
    <row r="9" spans="1:24">
      <c r="A9" s="14" t="str">
        <v>Cambodia</v>
      </c>
      <c r="B9" s="14" t="str">
        <v>Phnom Penh</v>
      </c>
      <c r="C9" s="15">
        <v>0.01</v>
      </c>
      <c r="E9" s="19" t="str">
        <v>China</v>
      </c>
      <c r="F9" s="19" t="str">
        <v>Beijing</v>
      </c>
      <c r="G9" s="20">
        <v>19910000000000</v>
      </c>
      <c r="I9" s="13" t="str" cm="1">
        <f t="array" ref="I9:K11">IF($J$5="","",IFERROR(_xlfn._xlws.SORT(_xlfn._xlws.FILTER(CHOOSE({1,2,3},tblCountriesClean[Country],tblCountriesClean[Capital],tblCountriesClean[GDP_USD]),(tblCountriesClean[GDP_USD]&gt;=$J$6*95%)*(tblCountriesClean[GDP_USD]&lt;=$J$6*105%)*(tblCountriesClean[Country]&lt;&gt;$J$5)*(tblCountriesClean[Data_Quality_Status]&lt;&gt;"CHECK")),3,-1),"No comparable countries"))</f>
        <v>Argentina</v>
      </c>
      <c r="J9" s="14" t="str">
        <v>Buenos Aires</v>
      </c>
      <c r="K9" s="16">
        <v>449663446954</v>
      </c>
      <c r="X9" s="1" t="str">
        <v>Armenia</v>
      </c>
    </row>
    <row r="10" spans="1:24">
      <c r="A10" s="14" t="str">
        <v>Laos</v>
      </c>
      <c r="B10" s="14" t="str">
        <v>Vientiane</v>
      </c>
      <c r="C10" s="15">
        <v>0.01</v>
      </c>
      <c r="E10" s="19" t="str">
        <v>Japan</v>
      </c>
      <c r="F10" s="19" t="str">
        <v>Tokyo</v>
      </c>
      <c r="G10" s="20">
        <v>5081769542380</v>
      </c>
      <c r="I10" s="13" t="str">
        <v>Nigeria</v>
      </c>
      <c r="J10" s="14" t="str">
        <v>Abuja</v>
      </c>
      <c r="K10" s="16">
        <v>448120428859</v>
      </c>
      <c r="X10" s="1" t="str">
        <v>Australia</v>
      </c>
    </row>
    <row r="11" spans="1:24">
      <c r="A11" s="14" t="str">
        <v>Nepal</v>
      </c>
      <c r="B11" s="14" t="str">
        <v>Kathmandu</v>
      </c>
      <c r="C11" s="15">
        <v>0.01</v>
      </c>
      <c r="E11" s="19" t="str">
        <v>Germany</v>
      </c>
      <c r="F11" s="19" t="str">
        <v>Berlin</v>
      </c>
      <c r="G11" s="20">
        <v>3845630030824</v>
      </c>
      <c r="I11" s="13" t="str">
        <v>Austria</v>
      </c>
      <c r="J11" s="14" t="str">
        <v>Vienna</v>
      </c>
      <c r="K11" s="16">
        <v>446314739528</v>
      </c>
      <c r="X11" s="1" t="str">
        <v>Austria</v>
      </c>
    </row>
    <row r="12" spans="1:24">
      <c r="A12" s="14" t="str">
        <v>Rwanda</v>
      </c>
      <c r="B12" s="14" t="str">
        <v>Kigali</v>
      </c>
      <c r="C12" s="15">
        <v>0.01</v>
      </c>
      <c r="E12" s="19" t="str">
        <v>United Kingdom</v>
      </c>
      <c r="F12" s="19" t="str">
        <v>London</v>
      </c>
      <c r="G12" s="20">
        <v>2827113184696</v>
      </c>
      <c r="X12" s="1" t="str">
        <v>Azerbaijan</v>
      </c>
    </row>
    <row r="13" spans="1:24">
      <c r="A13" s="14" t="str">
        <v>Saint Kitts and Nevis</v>
      </c>
      <c r="B13" s="14" t="str">
        <v>Basseterre</v>
      </c>
      <c r="C13" s="15">
        <v>0.01</v>
      </c>
      <c r="E13" s="19" t="str">
        <v>France</v>
      </c>
      <c r="F13" s="19" t="str">
        <v>Paris</v>
      </c>
      <c r="G13" s="20">
        <v>2715518274227</v>
      </c>
      <c r="X13" s="1" t="str">
        <v>Bahrain</v>
      </c>
    </row>
    <row r="14" spans="1:24">
      <c r="A14" s="14" t="str">
        <v>Solomon Islands</v>
      </c>
      <c r="B14" s="14" t="str">
        <v>Honiara</v>
      </c>
      <c r="C14" s="15">
        <v>0.01</v>
      </c>
      <c r="E14" s="19" t="str">
        <v>India</v>
      </c>
      <c r="F14" s="19" t="str">
        <v>New Delhi</v>
      </c>
      <c r="G14" s="20">
        <v>2611000000000</v>
      </c>
      <c r="X14" s="1" t="str">
        <v>Bangladesh</v>
      </c>
    </row>
    <row r="15" spans="1:24">
      <c r="A15" s="14" t="str">
        <v>Thailand</v>
      </c>
      <c r="B15" s="14" t="str">
        <v>Bangkok</v>
      </c>
      <c r="C15" s="15">
        <v>0.01</v>
      </c>
      <c r="E15" s="19" t="str">
        <v>South Korea</v>
      </c>
      <c r="F15" s="19" t="str">
        <v>Seoul</v>
      </c>
      <c r="G15" s="20">
        <v>2029000000000</v>
      </c>
      <c r="X15" s="1" t="str">
        <v>Barbados</v>
      </c>
    </row>
    <row r="16" spans="1:24">
      <c r="A16" s="14" t="str">
        <v>Tonga</v>
      </c>
      <c r="B16" s="14" t="str">
        <v>Nukuʻalofa</v>
      </c>
      <c r="C16" s="15">
        <v>0.01</v>
      </c>
      <c r="E16" s="19" t="str">
        <v>Italy</v>
      </c>
      <c r="F16" s="19" t="str">
        <v>Rome</v>
      </c>
      <c r="G16" s="20">
        <v>2001244392042</v>
      </c>
      <c r="X16" s="1" t="str">
        <v>Belarus</v>
      </c>
    </row>
    <row r="17" spans="1:24">
      <c r="A17" s="14" t="str">
        <v>Antigua and Barbuda</v>
      </c>
      <c r="B17" s="14" t="str">
        <v>St. John's, Antigua and Barbuda</v>
      </c>
      <c r="C17" s="15">
        <v>0.02</v>
      </c>
      <c r="E17" s="19" t="str">
        <v>Brazil</v>
      </c>
      <c r="F17" s="19" t="str">
        <v>Brasília</v>
      </c>
      <c r="G17" s="20">
        <v>1839758040766</v>
      </c>
      <c r="X17" s="1" t="str">
        <v>Belgium</v>
      </c>
    </row>
    <row r="18" spans="1:24">
      <c r="A18" s="14" t="str">
        <v>Benin</v>
      </c>
      <c r="B18" s="14" t="str">
        <v>Porto-Novo</v>
      </c>
      <c r="C18" s="15">
        <v>0.02</v>
      </c>
      <c r="E18" s="19" t="str">
        <v>Canada</v>
      </c>
      <c r="F18" s="19" t="str">
        <v>Ottawa</v>
      </c>
      <c r="G18" s="20">
        <v>1736425629520</v>
      </c>
      <c r="X18" s="1" t="str">
        <v>Belize</v>
      </c>
    </row>
    <row r="19" spans="1:24">
      <c r="A19" s="14" t="str">
        <v>Bhutan</v>
      </c>
      <c r="B19" s="14" t="str">
        <v>Thimphu</v>
      </c>
      <c r="C19" s="15">
        <v>0.02</v>
      </c>
      <c r="E19" s="19" t="str">
        <v>Russia</v>
      </c>
      <c r="F19" s="19" t="str">
        <v>Moscow</v>
      </c>
      <c r="G19" s="20">
        <v>1699876578871</v>
      </c>
      <c r="X19" s="1" t="str">
        <v>Benin</v>
      </c>
    </row>
    <row r="20" spans="1:24">
      <c r="A20" s="14" t="str">
        <v>Chad</v>
      </c>
      <c r="B20" s="14" t="str">
        <v>N'Djamena</v>
      </c>
      <c r="C20" s="15">
        <v>0.02</v>
      </c>
      <c r="E20" s="19" t="str">
        <v>Spain</v>
      </c>
      <c r="F20" s="19" t="str">
        <v>Madrid</v>
      </c>
      <c r="G20" s="20">
        <v>1394116310769</v>
      </c>
      <c r="X20" s="1" t="str">
        <v>Bhutan</v>
      </c>
    </row>
    <row r="21" spans="1:24">
      <c r="A21" s="14" t="str">
        <v>Cuba</v>
      </c>
      <c r="B21" s="14" t="str">
        <v>Havana</v>
      </c>
      <c r="C21" s="15">
        <v>0.02</v>
      </c>
      <c r="E21" s="19" t="str">
        <v>Australia</v>
      </c>
      <c r="F21" s="19" t="str">
        <v>Canberra</v>
      </c>
      <c r="G21" s="20">
        <v>1392680589329</v>
      </c>
      <c r="X21" s="1" t="str">
        <v>Bolivia</v>
      </c>
    </row>
    <row r="22" spans="1:24">
      <c r="A22" s="14" t="str">
        <v>Czech Republic</v>
      </c>
      <c r="B22" s="14" t="str">
        <v>Prague</v>
      </c>
      <c r="C22" s="15">
        <v>0.02</v>
      </c>
      <c r="E22" s="19" t="str">
        <v>Mexico</v>
      </c>
      <c r="F22" s="19" t="str">
        <v>Mexico City</v>
      </c>
      <c r="G22" s="20">
        <v>1258286717125</v>
      </c>
      <c r="X22" s="1" t="str">
        <v>Bosnia and Herzegovina</v>
      </c>
    </row>
    <row r="23" spans="1:24">
      <c r="A23" s="14" t="str">
        <v>Dominica</v>
      </c>
      <c r="B23" s="14" t="str">
        <v>Roseau</v>
      </c>
      <c r="C23" s="15">
        <v>0.02</v>
      </c>
      <c r="E23" s="19" t="str">
        <v>Indonesia</v>
      </c>
      <c r="F23" s="19" t="str">
        <v>Jakarta</v>
      </c>
      <c r="G23" s="20">
        <v>1119190780753</v>
      </c>
      <c r="X23" s="1" t="str">
        <v>Botswana</v>
      </c>
    </row>
    <row r="24" spans="1:24">
      <c r="A24" s="14" t="str">
        <v>Eswatini</v>
      </c>
      <c r="B24" s="14" t="str">
        <v>Lobamba</v>
      </c>
      <c r="C24" s="15">
        <v>0.02</v>
      </c>
      <c r="E24" s="19" t="str">
        <v>Netherlands</v>
      </c>
      <c r="F24" s="19" t="str">
        <v>Amsterdam</v>
      </c>
      <c r="G24" s="20">
        <v>909070395161</v>
      </c>
      <c r="X24" s="1" t="str">
        <v>Brazil</v>
      </c>
    </row>
    <row r="25" spans="1:24">
      <c r="A25" s="14" t="str">
        <v>Ethiopia</v>
      </c>
      <c r="B25" s="14" t="str">
        <v>Addis Ababa</v>
      </c>
      <c r="C25" s="15">
        <v>0.02</v>
      </c>
      <c r="E25" s="19" t="str">
        <v>Saudi Arabia</v>
      </c>
      <c r="F25" s="19" t="str">
        <v>Riyadh</v>
      </c>
      <c r="G25" s="20">
        <v>792966838162</v>
      </c>
      <c r="X25" s="1" t="str">
        <v>Brunei</v>
      </c>
    </row>
    <row r="26" spans="1:24">
      <c r="A26" s="14" t="str">
        <v>Grenada</v>
      </c>
      <c r="B26" s="14" t="str">
        <v>St. George's, Grenada</v>
      </c>
      <c r="C26" s="15">
        <v>0.02</v>
      </c>
      <c r="E26" s="19" t="str">
        <v>Turkey</v>
      </c>
      <c r="F26" s="19" t="str">
        <v>Ankara</v>
      </c>
      <c r="G26" s="20">
        <v>754411708203</v>
      </c>
      <c r="X26" s="1" t="str">
        <v>Bulgaria</v>
      </c>
    </row>
    <row r="27" spans="1:24">
      <c r="A27" s="14" t="str">
        <v>Guatemala</v>
      </c>
      <c r="B27" s="14" t="str">
        <v>Guatemala City</v>
      </c>
      <c r="C27" s="15">
        <v>0.02</v>
      </c>
      <c r="E27" s="19" t="str">
        <v>Switzerland</v>
      </c>
      <c r="F27" s="19" t="str">
        <v>Bern</v>
      </c>
      <c r="G27" s="20">
        <v>703082435360</v>
      </c>
      <c r="X27" s="1" t="str">
        <v>Burkina Faso</v>
      </c>
    </row>
    <row r="28" spans="1:24">
      <c r="A28" s="14" t="str">
        <v>Guinea-Bissau</v>
      </c>
      <c r="B28" s="14" t="str">
        <v>Bissau</v>
      </c>
      <c r="C28" s="15">
        <v>0.02</v>
      </c>
      <c r="E28" s="19" t="str">
        <v>Poland</v>
      </c>
      <c r="F28" s="19" t="str">
        <v>Warsaw</v>
      </c>
      <c r="G28" s="20">
        <v>592164400688</v>
      </c>
      <c r="X28" s="1" t="str">
        <v>Burundi</v>
      </c>
    </row>
    <row r="29" spans="1:24">
      <c r="A29" s="14" t="str">
        <v>Japan</v>
      </c>
      <c r="B29" s="14" t="str">
        <v>Tokyo</v>
      </c>
      <c r="C29" s="15">
        <v>0.02</v>
      </c>
      <c r="E29" s="19" t="str">
        <v>Thailand</v>
      </c>
      <c r="F29" s="19" t="str">
        <v>Bangkok</v>
      </c>
      <c r="G29" s="20">
        <v>543649976166</v>
      </c>
      <c r="X29" s="1" t="str">
        <v>Cambodia</v>
      </c>
    </row>
    <row r="30" spans="1:24">
      <c r="A30" s="14" t="str">
        <v>Kiribati</v>
      </c>
      <c r="B30" s="14" t="str">
        <v>South Tarawa</v>
      </c>
      <c r="C30" s="15">
        <v>0.02</v>
      </c>
      <c r="E30" s="19" t="str">
        <v>Sweden</v>
      </c>
      <c r="F30" s="19" t="str">
        <v>Stockholm</v>
      </c>
      <c r="G30" s="20">
        <v>530832908738</v>
      </c>
      <c r="X30" s="1" t="str">
        <v>Cameroon</v>
      </c>
    </row>
    <row r="31" spans="1:24">
      <c r="A31" s="14" t="str">
        <v>Kuwait</v>
      </c>
      <c r="B31" s="14" t="str">
        <v>Kuwait City</v>
      </c>
      <c r="C31" s="15">
        <v>0.02</v>
      </c>
      <c r="E31" s="19" t="str">
        <v>Belgium</v>
      </c>
      <c r="F31" s="19" t="str">
        <v>City of Brussels</v>
      </c>
      <c r="G31" s="20">
        <v>529606710418</v>
      </c>
      <c r="X31" s="1" t="str">
        <v>Canada</v>
      </c>
    </row>
    <row r="32" spans="1:24">
      <c r="A32" s="14" t="str">
        <v>Liechtenstein</v>
      </c>
      <c r="B32" s="14" t="str">
        <v>Vaduz</v>
      </c>
      <c r="C32" s="15">
        <v>0.02</v>
      </c>
      <c r="E32" s="19" t="str">
        <v>Venezuela</v>
      </c>
      <c r="F32" s="19" t="str">
        <v>Caracas</v>
      </c>
      <c r="G32" s="20">
        <v>482359318768</v>
      </c>
      <c r="X32" s="1" t="str">
        <v>Cape Verde</v>
      </c>
    </row>
    <row r="33" spans="1:24">
      <c r="A33" s="14" t="str">
        <v>Madagascar</v>
      </c>
      <c r="B33" s="14" t="str">
        <v>Antananarivo</v>
      </c>
      <c r="C33" s="15">
        <v>0.02</v>
      </c>
      <c r="X33" s="1" t="str">
        <v>Central African Republic</v>
      </c>
    </row>
    <row r="34" spans="1:24">
      <c r="A34" s="14" t="str">
        <v>Marshall Islands</v>
      </c>
      <c r="B34" s="14" t="str">
        <v>Majuro</v>
      </c>
      <c r="C34" s="15">
        <v>0.02</v>
      </c>
      <c r="X34" s="1" t="str">
        <v>Chad</v>
      </c>
    </row>
    <row r="35" spans="1:24">
      <c r="A35" s="14" t="str">
        <v>Federated States of Micronesia</v>
      </c>
      <c r="B35" s="14" t="str">
        <v>Palikir</v>
      </c>
      <c r="C35" s="15">
        <v>0.02</v>
      </c>
      <c r="X35" s="1" t="str">
        <v>Chile</v>
      </c>
    </row>
    <row r="36" spans="1:24">
      <c r="A36" s="14" t="str">
        <v>Monaco</v>
      </c>
      <c r="B36" s="14" t="str">
        <v>Monaco City</v>
      </c>
      <c r="C36" s="15">
        <v>0.02</v>
      </c>
      <c r="X36" s="1" t="str">
        <v>China</v>
      </c>
    </row>
    <row r="37" spans="1:24">
      <c r="A37" s="14" t="str">
        <v>Myanmar</v>
      </c>
      <c r="B37" s="14" t="str">
        <v>Naypyidaw</v>
      </c>
      <c r="C37" s="15">
        <v>0.02</v>
      </c>
      <c r="X37" s="1" t="str">
        <v>Colombia</v>
      </c>
    </row>
    <row r="38" spans="1:24">
      <c r="A38" s="14" t="str">
        <v>Nauru</v>
      </c>
      <c r="B38" s="14" t="str">
        <v>Yaren District</v>
      </c>
      <c r="C38" s="15">
        <v>0.02</v>
      </c>
      <c r="X38" s="1" t="str">
        <v>Comoros</v>
      </c>
    </row>
    <row r="39" spans="1:24">
      <c r="A39" s="14" t="str">
        <v>Papua New Guinea</v>
      </c>
      <c r="B39" s="14" t="str">
        <v>Port Moresby</v>
      </c>
      <c r="C39" s="15">
        <v>0.02</v>
      </c>
      <c r="X39" s="1" t="str">
        <v>Costa Rica</v>
      </c>
    </row>
    <row r="40" spans="1:24">
      <c r="A40" s="14" t="str">
        <v>Philippines</v>
      </c>
      <c r="B40" s="14" t="str">
        <v>Manila</v>
      </c>
      <c r="C40" s="15">
        <v>0.02</v>
      </c>
      <c r="X40" s="1" t="str">
        <v>Croatia</v>
      </c>
    </row>
    <row r="41" spans="1:24">
      <c r="A41" s="14" t="str">
        <v>Tanzania</v>
      </c>
      <c r="B41" s="14" t="str">
        <v>Dodoma</v>
      </c>
      <c r="C41" s="15">
        <v>0.02</v>
      </c>
      <c r="X41" s="1" t="str">
        <v>Cuba</v>
      </c>
    </row>
    <row r="42" spans="1:24">
      <c r="A42" s="14" t="str">
        <v>Togo</v>
      </c>
      <c r="B42" s="14" t="str">
        <v>Lomé</v>
      </c>
      <c r="C42" s="15">
        <v>0.02</v>
      </c>
      <c r="X42" s="1" t="str">
        <v>Cyprus</v>
      </c>
    </row>
    <row r="43" spans="1:24">
      <c r="A43" s="14" t="str">
        <v>United Arab Emirates</v>
      </c>
      <c r="B43" s="14" t="str">
        <v>Abu Dhabi</v>
      </c>
      <c r="C43" s="15">
        <v>0.02</v>
      </c>
      <c r="X43" s="1" t="str">
        <v>Czech Republic</v>
      </c>
    </row>
    <row r="44" spans="1:24">
      <c r="A44" s="14" t="str">
        <v>Vietnam</v>
      </c>
      <c r="B44" s="14" t="str">
        <v>Hanoi</v>
      </c>
      <c r="C44" s="15">
        <v>0.02</v>
      </c>
      <c r="X44" s="1" t="str">
        <v>Democratic Republic of the Congo</v>
      </c>
    </row>
    <row r="45" spans="1:24">
      <c r="A45" s="14" t="str">
        <v>Bolivia</v>
      </c>
      <c r="B45" s="14" t="str">
        <v>Sucre</v>
      </c>
      <c r="C45" s="15">
        <v>0.03</v>
      </c>
      <c r="X45" s="1" t="str">
        <v>Denmark</v>
      </c>
    </row>
    <row r="46" spans="1:24">
      <c r="A46" s="14" t="str">
        <v>Cameroon</v>
      </c>
      <c r="B46" s="14" t="str">
        <v>Yaoundé</v>
      </c>
      <c r="C46" s="15">
        <v>0.03</v>
      </c>
      <c r="X46" s="1" t="str">
        <v>Djibouti</v>
      </c>
    </row>
    <row r="47" spans="1:24">
      <c r="A47" s="14" t="str">
        <v>Germany</v>
      </c>
      <c r="B47" s="14" t="str">
        <v>Berlin</v>
      </c>
      <c r="C47" s="15">
        <v>0.03</v>
      </c>
      <c r="X47" s="1" t="str">
        <v>Dominica</v>
      </c>
    </row>
    <row r="48" spans="1:24">
      <c r="A48" s="14" t="str">
        <v>Hungary</v>
      </c>
      <c r="B48" s="14" t="str">
        <v>Budapest</v>
      </c>
      <c r="C48" s="15">
        <v>0.03</v>
      </c>
      <c r="X48" s="1" t="str">
        <v>Dominican Republic</v>
      </c>
    </row>
    <row r="49" spans="1:24">
      <c r="A49" s="14" t="str">
        <v>Iceland</v>
      </c>
      <c r="B49" s="14" t="str">
        <v>Reykjavík</v>
      </c>
      <c r="C49" s="15">
        <v>0.03</v>
      </c>
      <c r="X49" s="1" t="str">
        <v>Ecuador</v>
      </c>
    </row>
    <row r="50" spans="1:24">
      <c r="A50" s="14" t="str">
        <v>Ivory Coast</v>
      </c>
      <c r="B50" s="14" t="str">
        <v>Yamoussoukro</v>
      </c>
      <c r="C50" s="15">
        <v>0.03</v>
      </c>
      <c r="X50" s="1" t="str">
        <v>Egypt</v>
      </c>
    </row>
    <row r="51" spans="1:24">
      <c r="A51" s="14" t="str">
        <v>Kenya</v>
      </c>
      <c r="B51" s="14" t="str">
        <v>Nairobi</v>
      </c>
      <c r="C51" s="15">
        <v>0.03</v>
      </c>
      <c r="X51" s="1" t="str">
        <v>El Salvador</v>
      </c>
    </row>
    <row r="52" spans="1:24">
      <c r="A52" s="14" t="str">
        <v>Liberia</v>
      </c>
      <c r="B52" s="14" t="str">
        <v>Monrovia</v>
      </c>
      <c r="C52" s="15">
        <v>0.03</v>
      </c>
      <c r="X52" s="1" t="str">
        <v>Equatorial Guinea</v>
      </c>
    </row>
    <row r="53" spans="1:24">
      <c r="A53" s="14" t="str">
        <v>Malaysia</v>
      </c>
      <c r="B53" s="14" t="str">
        <v>Kuala Lumpur</v>
      </c>
      <c r="C53" s="15">
        <v>0.03</v>
      </c>
      <c r="X53" s="1" t="str">
        <v>Eritrea</v>
      </c>
    </row>
    <row r="54" spans="1:24">
      <c r="A54" s="14" t="str">
        <v>Malta</v>
      </c>
      <c r="B54" s="14" t="str">
        <v>Valletta</v>
      </c>
      <c r="C54" s="15">
        <v>0.03</v>
      </c>
      <c r="X54" s="1" t="str">
        <v>Estonia</v>
      </c>
    </row>
    <row r="55" spans="1:24">
      <c r="A55" s="14" t="str">
        <v>Mexico</v>
      </c>
      <c r="B55" s="14" t="str">
        <v>Mexico City</v>
      </c>
      <c r="C55" s="15">
        <v>0.03</v>
      </c>
      <c r="X55" s="1" t="str">
        <v>Eswatini</v>
      </c>
    </row>
    <row r="56" spans="1:24">
      <c r="A56" s="14" t="str">
        <v>Mozambique</v>
      </c>
      <c r="B56" s="14" t="str">
        <v>Maputo</v>
      </c>
      <c r="C56" s="15">
        <v>0.03</v>
      </c>
      <c r="X56" s="1" t="str">
        <v>Ethiopia</v>
      </c>
    </row>
    <row r="57" spans="1:24">
      <c r="A57" s="14" t="str">
        <v>Netherlands</v>
      </c>
      <c r="B57" s="14" t="str">
        <v>Amsterdam</v>
      </c>
      <c r="C57" s="15">
        <v>0.03</v>
      </c>
      <c r="X57" s="1" t="str">
        <v>Federated States of Micronesia</v>
      </c>
    </row>
    <row r="58" spans="1:24">
      <c r="A58" s="14" t="str">
        <v>North Korea</v>
      </c>
      <c r="B58" s="14" t="str">
        <v>Pyongyang</v>
      </c>
      <c r="C58" s="15">
        <v>0.03</v>
      </c>
      <c r="X58" s="1" t="str">
        <v>Fiji</v>
      </c>
    </row>
    <row r="59" spans="1:24">
      <c r="A59" s="14" t="str">
        <v>North Macedonia</v>
      </c>
      <c r="B59" s="14" t="str">
        <v>Skopje</v>
      </c>
      <c r="C59" s="15">
        <v>0.03</v>
      </c>
      <c r="X59" s="1" t="str">
        <v>Finland</v>
      </c>
    </row>
    <row r="60" spans="1:24">
      <c r="A60" s="14" t="str">
        <v>Norway</v>
      </c>
      <c r="B60" s="14" t="str">
        <v>Oslo</v>
      </c>
      <c r="C60" s="15">
        <v>0.03</v>
      </c>
      <c r="X60" s="1" t="str">
        <v>France</v>
      </c>
    </row>
    <row r="61" spans="1:24">
      <c r="A61" s="14" t="str">
        <v>Oman</v>
      </c>
      <c r="B61" s="14" t="str">
        <v>Muscat</v>
      </c>
      <c r="C61" s="15">
        <v>0.03</v>
      </c>
      <c r="X61" s="1" t="str">
        <v>Gabon</v>
      </c>
    </row>
    <row r="62" spans="1:24">
      <c r="A62" s="14" t="str">
        <v>Palau</v>
      </c>
      <c r="B62" s="14" t="str">
        <v>Ngerulmud</v>
      </c>
      <c r="C62" s="15">
        <v>0.03</v>
      </c>
      <c r="X62" s="1" t="str">
        <v>Georgia</v>
      </c>
    </row>
    <row r="63" spans="1:24">
      <c r="A63" s="14" t="str">
        <v>Peru</v>
      </c>
      <c r="B63" s="14" t="str">
        <v>Lima</v>
      </c>
      <c r="C63" s="15">
        <v>0.03</v>
      </c>
      <c r="X63" s="1" t="str">
        <v>Germany</v>
      </c>
    </row>
    <row r="64" spans="1:24">
      <c r="A64" s="14" t="str">
        <v>Poland</v>
      </c>
      <c r="B64" s="14" t="str">
        <v>Warsaw</v>
      </c>
      <c r="C64" s="15">
        <v>0.03</v>
      </c>
      <c r="X64" s="1" t="str">
        <v>Ghana</v>
      </c>
    </row>
    <row r="65" spans="1:24">
      <c r="A65" s="14" t="str">
        <v>Trinidad and Tobago</v>
      </c>
      <c r="B65" s="14" t="str">
        <v>Port of Spain</v>
      </c>
      <c r="C65" s="15">
        <v>0.03</v>
      </c>
      <c r="X65" s="1" t="str">
        <v>Greece</v>
      </c>
    </row>
    <row r="66" spans="1:24">
      <c r="A66" s="14" t="str">
        <v>Bangladesh</v>
      </c>
      <c r="B66" s="14" t="str">
        <v>Dhaka</v>
      </c>
      <c r="C66" s="15">
        <v>0.04</v>
      </c>
      <c r="X66" s="1" t="str">
        <v>Grenada</v>
      </c>
    </row>
    <row r="67" spans="1:24">
      <c r="A67" s="14" t="str">
        <v>Bulgaria</v>
      </c>
      <c r="B67" s="14" t="str">
        <v>Sofia</v>
      </c>
      <c r="C67" s="15">
        <v>0.04</v>
      </c>
      <c r="X67" s="1" t="str">
        <v>Guatemala</v>
      </c>
    </row>
    <row r="68" spans="1:24">
      <c r="A68" s="14" t="str">
        <v>Central African Republic</v>
      </c>
      <c r="B68" s="14" t="str">
        <v>Bangui</v>
      </c>
      <c r="C68" s="15">
        <v>0.04</v>
      </c>
      <c r="X68" s="1" t="str">
        <v>Guinea</v>
      </c>
    </row>
    <row r="69" spans="1:24">
      <c r="A69" s="14" t="str">
        <v>China</v>
      </c>
      <c r="B69" s="14" t="str">
        <v>Beijing</v>
      </c>
      <c r="C69" s="15">
        <v>0.04</v>
      </c>
      <c r="X69" s="1" t="str">
        <v>Guinea-Bissau</v>
      </c>
    </row>
    <row r="70" spans="1:24">
      <c r="A70" s="14" t="str">
        <v>Comoros</v>
      </c>
      <c r="B70" s="14" t="str">
        <v>Moroni, Comoros</v>
      </c>
      <c r="C70" s="15">
        <v>0.04</v>
      </c>
      <c r="X70" s="1" t="str">
        <v>Guyana</v>
      </c>
    </row>
    <row r="71" spans="1:24">
      <c r="A71" s="14" t="str">
        <v>Democratic Republic of the Congo</v>
      </c>
      <c r="B71" s="14" t="str">
        <v>Kinshasa</v>
      </c>
      <c r="C71" s="15">
        <v>0.04</v>
      </c>
      <c r="X71" s="1" t="str">
        <v>Haiti</v>
      </c>
    </row>
    <row r="72" spans="1:24">
      <c r="A72" s="14" t="str">
        <v>Ecuador</v>
      </c>
      <c r="B72" s="14" t="str">
        <v>Quito</v>
      </c>
      <c r="C72" s="15">
        <v>0.04</v>
      </c>
      <c r="X72" s="1" t="str">
        <v>Honduras</v>
      </c>
    </row>
    <row r="73" spans="1:24">
      <c r="A73" s="14" t="str">
        <v>El Salvador</v>
      </c>
      <c r="B73" s="14" t="str">
        <v>San Salvador</v>
      </c>
      <c r="C73" s="15">
        <v>0.04</v>
      </c>
      <c r="X73" s="1" t="str">
        <v>Hungary</v>
      </c>
    </row>
    <row r="74" spans="1:24">
      <c r="A74" s="14" t="str">
        <v>Fiji</v>
      </c>
      <c r="B74" s="14" t="str">
        <v>Suva</v>
      </c>
      <c r="C74" s="15">
        <v>0.04</v>
      </c>
      <c r="X74" s="1" t="str">
        <v>Iceland</v>
      </c>
    </row>
    <row r="75" spans="1:24">
      <c r="A75" s="14" t="str">
        <v>Ghana</v>
      </c>
      <c r="B75" s="14" t="str">
        <v>Accra</v>
      </c>
      <c r="C75" s="15">
        <v>0.04</v>
      </c>
      <c r="X75" s="1" t="str">
        <v>India</v>
      </c>
    </row>
    <row r="76" spans="1:24">
      <c r="A76" s="14" t="str">
        <v>Guinea</v>
      </c>
      <c r="B76" s="14" t="str">
        <v>Conakry</v>
      </c>
      <c r="C76" s="15">
        <v>0.04</v>
      </c>
      <c r="X76" s="1" t="str">
        <v>Indonesia</v>
      </c>
    </row>
    <row r="77" spans="1:24">
      <c r="A77" s="14" t="str">
        <v>Israel</v>
      </c>
      <c r="B77" s="14" t="str">
        <v>Jerusalem</v>
      </c>
      <c r="C77" s="15">
        <v>0.04</v>
      </c>
      <c r="X77" s="1" t="str">
        <v>Iran</v>
      </c>
    </row>
    <row r="78" spans="1:24">
      <c r="A78" s="14" t="str">
        <v>New Zealand</v>
      </c>
      <c r="B78" s="14" t="str">
        <v>Wellington</v>
      </c>
      <c r="C78" s="15">
        <v>0.04</v>
      </c>
      <c r="X78" s="1" t="str">
        <v>Iraq</v>
      </c>
    </row>
    <row r="79" spans="1:24">
      <c r="A79" s="14" t="str">
        <v>Pakistan</v>
      </c>
      <c r="B79" s="14" t="str">
        <v>Islamabad</v>
      </c>
      <c r="C79" s="15">
        <v>0.04</v>
      </c>
      <c r="X79" s="1" t="str">
        <v>Israel</v>
      </c>
    </row>
    <row r="80" spans="1:24">
      <c r="A80" s="14" t="str">
        <v>Panama</v>
      </c>
      <c r="B80" s="14" t="str">
        <v>Panama City</v>
      </c>
      <c r="C80" s="15">
        <v>0.04</v>
      </c>
      <c r="X80" s="1" t="str">
        <v>Italy</v>
      </c>
    </row>
    <row r="81" spans="1:24">
      <c r="A81" s="14" t="str">
        <v>Singapore</v>
      </c>
      <c r="B81" s="14" t="str">
        <v>Singapore</v>
      </c>
      <c r="C81" s="15">
        <v>0.04</v>
      </c>
      <c r="X81" s="1" t="str">
        <v>Ivory Coast</v>
      </c>
    </row>
    <row r="82" spans="1:24">
      <c r="A82" s="14" t="str">
        <v>Slovenia</v>
      </c>
      <c r="B82" s="14" t="str">
        <v>Ljubljana</v>
      </c>
      <c r="C82" s="15">
        <v>0.04</v>
      </c>
      <c r="X82" s="1" t="str">
        <v>Jamaica</v>
      </c>
    </row>
    <row r="83" spans="1:24">
      <c r="A83" s="14" t="str">
        <v>South Korea</v>
      </c>
      <c r="B83" s="14" t="str">
        <v>Seoul</v>
      </c>
      <c r="C83" s="15">
        <v>0.04</v>
      </c>
      <c r="X83" s="1" t="str">
        <v>Japan</v>
      </c>
    </row>
    <row r="84" spans="1:24">
      <c r="A84" s="14" t="str">
        <v>Sri Lanka</v>
      </c>
      <c r="B84" s="14" t="str">
        <v>Colombo</v>
      </c>
      <c r="C84" s="15">
        <v>0.04</v>
      </c>
      <c r="X84" s="1" t="str">
        <v>Jordan</v>
      </c>
    </row>
    <row r="85" spans="1:24">
      <c r="A85" s="14" t="str">
        <v>Turkmenistan</v>
      </c>
      <c r="B85" s="14" t="str">
        <v>Ashgabat</v>
      </c>
      <c r="C85" s="15">
        <v>0.04</v>
      </c>
      <c r="X85" s="1" t="str">
        <v>Kazakhstan</v>
      </c>
    </row>
    <row r="86" spans="1:24">
      <c r="A86" s="14" t="str">
        <v>Tuvalu</v>
      </c>
      <c r="B86" s="14" t="str">
        <v>Funafuti</v>
      </c>
      <c r="C86" s="15">
        <v>0.04</v>
      </c>
      <c r="X86" s="1" t="str">
        <v>Kenya</v>
      </c>
    </row>
    <row r="87" spans="1:24">
      <c r="A87" s="14" t="str">
        <v>Uganda</v>
      </c>
      <c r="B87" s="14" t="str">
        <v>Kampala</v>
      </c>
      <c r="C87" s="15">
        <v>0.04</v>
      </c>
      <c r="X87" s="1" t="str">
        <v>Kiribati</v>
      </c>
    </row>
    <row r="88" spans="1:24">
      <c r="A88" s="14" t="str">
        <v>United Kingdom</v>
      </c>
      <c r="B88" s="14" t="str">
        <v>London</v>
      </c>
      <c r="C88" s="15">
        <v>0.04</v>
      </c>
      <c r="X88" s="1" t="str">
        <v>Kuwait</v>
      </c>
    </row>
    <row r="89" spans="1:24">
      <c r="A89" s="14" t="str">
        <v>Vanuatu</v>
      </c>
      <c r="B89" s="14" t="str">
        <v>Port Vila</v>
      </c>
      <c r="C89" s="15">
        <v>0.04</v>
      </c>
      <c r="X89" s="1" t="str">
        <v>Kyrgyzstan</v>
      </c>
    </row>
    <row r="90" spans="1:24">
      <c r="A90" s="14" t="str">
        <v>Australia</v>
      </c>
      <c r="B90" s="14" t="str">
        <v>Canberra</v>
      </c>
      <c r="C90" s="15">
        <v>0.05</v>
      </c>
      <c r="X90" s="1" t="str">
        <v>Laos</v>
      </c>
    </row>
    <row r="91" spans="1:24">
      <c r="A91" s="14" t="str">
        <v>Austria</v>
      </c>
      <c r="B91" s="14" t="str">
        <v>Vienna</v>
      </c>
      <c r="C91" s="15">
        <v>0.05</v>
      </c>
      <c r="X91" s="1" t="str">
        <v>Latvia</v>
      </c>
    </row>
    <row r="92" spans="1:24">
      <c r="A92" s="14" t="str">
        <v>Belarus</v>
      </c>
      <c r="B92" s="14" t="str">
        <v>Minsk</v>
      </c>
      <c r="C92" s="15">
        <v>0.05</v>
      </c>
      <c r="X92" s="1" t="str">
        <v>Lebanon</v>
      </c>
    </row>
    <row r="93" spans="1:24">
      <c r="A93" s="14" t="str">
        <v>Denmark</v>
      </c>
      <c r="B93" s="14" t="str">
        <v>Copenhagen</v>
      </c>
      <c r="C93" s="15">
        <v>0.05</v>
      </c>
      <c r="X93" s="1" t="str">
        <v>Lesotho</v>
      </c>
    </row>
    <row r="94" spans="1:24">
      <c r="A94" s="14" t="str">
        <v>Eritrea</v>
      </c>
      <c r="B94" s="14" t="str">
        <v>Asmara</v>
      </c>
      <c r="C94" s="15">
        <v>0.05</v>
      </c>
      <c r="X94" s="1" t="str">
        <v>Liberia</v>
      </c>
    </row>
    <row r="95" spans="1:24">
      <c r="A95" s="14" t="str">
        <v>Estonia</v>
      </c>
      <c r="B95" s="14" t="str">
        <v>Tallinn</v>
      </c>
      <c r="C95" s="15">
        <v>0.05</v>
      </c>
      <c r="X95" s="1" t="str">
        <v>Libya</v>
      </c>
    </row>
    <row r="96" spans="1:24">
      <c r="A96" s="14" t="str">
        <v>Honduras</v>
      </c>
      <c r="B96" s="14" t="str">
        <v>Tegucigalpa</v>
      </c>
      <c r="C96" s="15">
        <v>0.05</v>
      </c>
      <c r="X96" s="1" t="str">
        <v>Liechtenstein</v>
      </c>
    </row>
    <row r="97" spans="1:24">
      <c r="A97" s="14" t="str">
        <v>India</v>
      </c>
      <c r="B97" s="14" t="str">
        <v>New Delhi</v>
      </c>
      <c r="C97" s="15">
        <v>0.05</v>
      </c>
      <c r="X97" s="1" t="str">
        <v>Lithuania</v>
      </c>
    </row>
    <row r="98" spans="1:24">
      <c r="A98" s="14" t="str">
        <v>Indonesia</v>
      </c>
      <c r="B98" s="14" t="str">
        <v>Jakarta</v>
      </c>
      <c r="C98" s="15">
        <v>0.05</v>
      </c>
      <c r="X98" s="1" t="str">
        <v>Luxembourg</v>
      </c>
    </row>
    <row r="99" spans="1:24">
      <c r="A99" s="14" t="str">
        <v>Republic of Ireland</v>
      </c>
      <c r="B99" s="14" t="str">
        <v>Dublin</v>
      </c>
      <c r="C99" s="15">
        <v>0.05</v>
      </c>
      <c r="X99" s="1" t="str">
        <v>Madagascar</v>
      </c>
    </row>
    <row r="100" spans="1:24">
      <c r="A100" s="14" t="str">
        <v>Kazakhstan</v>
      </c>
      <c r="B100" s="14" t="str">
        <v>Astana</v>
      </c>
      <c r="C100" s="15">
        <v>0.05</v>
      </c>
      <c r="X100" s="1" t="str">
        <v>Malawi</v>
      </c>
    </row>
    <row r="101" spans="1:24">
      <c r="A101" s="14" t="str">
        <v>Luxembourg</v>
      </c>
      <c r="B101" s="14" t="str">
        <v>Luxembourg City</v>
      </c>
      <c r="C101" s="15">
        <v>0.05</v>
      </c>
      <c r="X101" s="1" t="str">
        <v>Malaysia</v>
      </c>
    </row>
    <row r="102" spans="1:24">
      <c r="A102" s="14" t="str">
        <v>Moldova</v>
      </c>
      <c r="B102" s="14" t="str">
        <v>Chișinău</v>
      </c>
      <c r="C102" s="15">
        <v>0.05</v>
      </c>
      <c r="X102" s="1" t="str">
        <v>Maldives</v>
      </c>
    </row>
    <row r="103" spans="1:24">
      <c r="A103" s="14" t="str">
        <v>Paraguay</v>
      </c>
      <c r="B103" s="14" t="str">
        <v>Asunción</v>
      </c>
      <c r="C103" s="15">
        <v>0.05</v>
      </c>
      <c r="X103" s="1" t="str">
        <v>Mali</v>
      </c>
    </row>
    <row r="104" spans="1:24">
      <c r="A104" s="14" t="str">
        <v>Russia</v>
      </c>
      <c r="B104" s="14" t="str">
        <v>Moscow</v>
      </c>
      <c r="C104" s="15">
        <v>0.05</v>
      </c>
      <c r="X104" s="1" t="str">
        <v>Malta</v>
      </c>
    </row>
    <row r="105" spans="1:24">
      <c r="A105" s="14" t="str">
        <v>Switzerland</v>
      </c>
      <c r="B105" s="14" t="str">
        <v>Bern</v>
      </c>
      <c r="C105" s="15">
        <v>0.05</v>
      </c>
      <c r="X105" s="1" t="str">
        <v>Marshall Islands</v>
      </c>
    </row>
    <row r="106" spans="1:24">
      <c r="A106" s="14" t="str">
        <v>Timor-Leste</v>
      </c>
      <c r="B106" s="14" t="str">
        <v>Dili</v>
      </c>
      <c r="C106" s="15">
        <v>0.05</v>
      </c>
      <c r="X106" s="1" t="str">
        <v>Mauritania</v>
      </c>
    </row>
    <row r="107" spans="1:24">
      <c r="A107" s="14" t="str">
        <v>Zimbabwe</v>
      </c>
      <c r="B107" s="14" t="str">
        <v>Harare</v>
      </c>
      <c r="C107" s="15">
        <v>0.05</v>
      </c>
      <c r="X107" s="1" t="str">
        <v>Mauritius</v>
      </c>
    </row>
    <row r="108" spans="1:24">
      <c r="A108" s="14" t="str">
        <v>Azerbaijan</v>
      </c>
      <c r="B108" s="14" t="str">
        <v>Baku</v>
      </c>
      <c r="C108" s="15">
        <v>0.06</v>
      </c>
      <c r="X108" s="1" t="str">
        <v>Mexico</v>
      </c>
    </row>
    <row r="109" spans="1:24">
      <c r="A109" s="14" t="str">
        <v>Belgium</v>
      </c>
      <c r="B109" s="14" t="str">
        <v>City of Brussels</v>
      </c>
      <c r="C109" s="15">
        <v>0.06</v>
      </c>
      <c r="X109" s="1" t="str">
        <v>Moldova</v>
      </c>
    </row>
    <row r="110" spans="1:24">
      <c r="A110" s="14" t="str">
        <v>Belize</v>
      </c>
      <c r="B110" s="14" t="str">
        <v>Belmopan</v>
      </c>
      <c r="C110" s="15">
        <v>0.06</v>
      </c>
      <c r="X110" s="1" t="str">
        <v>Monaco</v>
      </c>
    </row>
    <row r="111" spans="1:24">
      <c r="A111" s="14" t="str">
        <v>Burkina Faso</v>
      </c>
      <c r="B111" s="14" t="str">
        <v>Ouagadougou</v>
      </c>
      <c r="C111" s="15">
        <v>0.06</v>
      </c>
      <c r="X111" s="1" t="str">
        <v>Mongolia</v>
      </c>
    </row>
    <row r="112" spans="1:24">
      <c r="A112" s="14" t="str">
        <v>Canada</v>
      </c>
      <c r="B112" s="14" t="str">
        <v>Ottawa</v>
      </c>
      <c r="C112" s="15">
        <v>0.06</v>
      </c>
      <c r="X112" s="1" t="str">
        <v>Montenegro</v>
      </c>
    </row>
    <row r="113" spans="1:24">
      <c r="A113" s="14" t="str">
        <v>Dominican Republic</v>
      </c>
      <c r="B113" s="14" t="str">
        <v>Santo Domingo</v>
      </c>
      <c r="C113" s="15">
        <v>0.06</v>
      </c>
      <c r="X113" s="1" t="str">
        <v>Morocco</v>
      </c>
    </row>
    <row r="114" spans="1:24">
      <c r="A114" s="14" t="str">
        <v>Equatorial Guinea</v>
      </c>
      <c r="B114" s="14" t="str">
        <v>Ciudad de la Paz</v>
      </c>
      <c r="C114" s="15">
        <v>0.06</v>
      </c>
      <c r="X114" s="1" t="str">
        <v>Mozambique</v>
      </c>
    </row>
    <row r="115" spans="1:24">
      <c r="A115" s="14" t="str">
        <v>Kyrgyzstan</v>
      </c>
      <c r="B115" s="14" t="str">
        <v>Bishkek</v>
      </c>
      <c r="C115" s="15">
        <v>0.06</v>
      </c>
      <c r="X115" s="1" t="str">
        <v>Myanmar</v>
      </c>
    </row>
    <row r="116" spans="1:24">
      <c r="A116" s="14" t="str">
        <v>Lebanon</v>
      </c>
      <c r="B116" s="14" t="str">
        <v>Beirut</v>
      </c>
      <c r="C116" s="15">
        <v>0.06</v>
      </c>
      <c r="X116" s="1" t="str">
        <v>Namibia</v>
      </c>
    </row>
    <row r="117" spans="1:24">
      <c r="A117" s="14" t="str">
        <v>Lithuania</v>
      </c>
      <c r="B117" s="14" t="str">
        <v>Vilnius</v>
      </c>
      <c r="C117" s="15">
        <v>0.06</v>
      </c>
      <c r="X117" s="1" t="str">
        <v>Nauru</v>
      </c>
    </row>
    <row r="118" spans="1:24">
      <c r="A118" s="14" t="str">
        <v>Malawi</v>
      </c>
      <c r="B118" s="14" t="str">
        <v>Lilongwe</v>
      </c>
      <c r="C118" s="15">
        <v>0.06</v>
      </c>
      <c r="X118" s="1" t="str">
        <v>Nepal</v>
      </c>
    </row>
    <row r="119" spans="1:24">
      <c r="A119" s="14" t="str">
        <v>Maldives</v>
      </c>
      <c r="B119" s="14" t="str">
        <v>Malé</v>
      </c>
      <c r="C119" s="15">
        <v>0.06</v>
      </c>
      <c r="X119" s="1" t="str">
        <v>Netherlands</v>
      </c>
    </row>
    <row r="120" spans="1:24">
      <c r="A120" s="14" t="str">
        <v>Mongolia</v>
      </c>
      <c r="B120" s="14" t="str">
        <v>Ulaanbaatar</v>
      </c>
      <c r="C120" s="15">
        <v>0.06</v>
      </c>
      <c r="X120" s="1" t="str">
        <v>New Zealand</v>
      </c>
    </row>
    <row r="121" spans="1:24">
      <c r="A121" s="14" t="str">
        <v>Portugal</v>
      </c>
      <c r="B121" s="14" t="str">
        <v>Lisbon</v>
      </c>
      <c r="C121" s="15">
        <v>0.06</v>
      </c>
      <c r="X121" s="1" t="str">
        <v>Nicaragua</v>
      </c>
    </row>
    <row r="122" spans="1:24">
      <c r="A122" s="14" t="str">
        <v>Qatar</v>
      </c>
      <c r="B122" s="14" t="str">
        <v>Doha</v>
      </c>
      <c r="C122" s="15">
        <v>0.06</v>
      </c>
      <c r="X122" s="1" t="str">
        <v>Niger</v>
      </c>
    </row>
    <row r="123" spans="1:24">
      <c r="A123" s="14" t="str">
        <v>Romania</v>
      </c>
      <c r="B123" s="14" t="str">
        <v>Bucharest</v>
      </c>
      <c r="C123" s="15">
        <v>0.06</v>
      </c>
      <c r="X123" s="1" t="str">
        <v>Nigeria</v>
      </c>
    </row>
    <row r="124" spans="1:24">
      <c r="A124" s="14" t="str">
        <v>Saudi Arabia</v>
      </c>
      <c r="B124" s="14" t="str">
        <v>Riyadh</v>
      </c>
      <c r="C124" s="15">
        <v>0.06</v>
      </c>
      <c r="X124" s="1" t="str">
        <v>North Korea</v>
      </c>
    </row>
    <row r="125" spans="1:24">
      <c r="A125" s="14" t="str">
        <v>Slovakia</v>
      </c>
      <c r="B125" s="14" t="str">
        <v>Bratislava</v>
      </c>
      <c r="C125" s="15">
        <v>0.06</v>
      </c>
      <c r="X125" s="1" t="str">
        <v>North Macedonia</v>
      </c>
    </row>
    <row r="126" spans="1:24">
      <c r="A126" s="14" t="str">
        <v>Sweden</v>
      </c>
      <c r="B126" s="14" t="str">
        <v>Stockholm</v>
      </c>
      <c r="C126" s="15">
        <v>0.06</v>
      </c>
      <c r="X126" s="1" t="str">
        <v>Norway</v>
      </c>
    </row>
    <row r="127" spans="1:24">
      <c r="A127" s="14" t="str">
        <v>Uzbekistan</v>
      </c>
      <c r="B127" s="14" t="str">
        <v>Tashkent</v>
      </c>
      <c r="C127" s="15">
        <v>0.06</v>
      </c>
      <c r="X127" s="1" t="str">
        <v>Oman</v>
      </c>
    </row>
    <row r="128" spans="1:24">
      <c r="A128" s="14" t="str">
        <v>Angola</v>
      </c>
      <c r="B128" s="14" t="str">
        <v>Luanda</v>
      </c>
      <c r="C128" s="15">
        <v>7.0000000000000007E-2</v>
      </c>
      <c r="X128" s="1" t="str">
        <v>Pakistan</v>
      </c>
    </row>
    <row r="129" spans="1:24">
      <c r="A129" s="14" t="str">
        <v>Chile</v>
      </c>
      <c r="B129" s="14" t="str">
        <v>Santiago</v>
      </c>
      <c r="C129" s="15">
        <v>7.0000000000000007E-2</v>
      </c>
      <c r="X129" s="1" t="str">
        <v>Palau</v>
      </c>
    </row>
    <row r="130" spans="1:24">
      <c r="A130" s="14" t="str">
        <v>Croatia</v>
      </c>
      <c r="B130" s="14" t="str">
        <v>Zagreb</v>
      </c>
      <c r="C130" s="15">
        <v>7.0000000000000007E-2</v>
      </c>
      <c r="X130" s="1" t="str">
        <v>Panama</v>
      </c>
    </row>
    <row r="131" spans="1:24">
      <c r="A131" s="14" t="str">
        <v>Cyprus</v>
      </c>
      <c r="B131" s="14" t="str">
        <v>Nicosia</v>
      </c>
      <c r="C131" s="15">
        <v>7.0000000000000007E-2</v>
      </c>
      <c r="X131" s="1" t="str">
        <v>Papua New Guinea</v>
      </c>
    </row>
    <row r="132" spans="1:24">
      <c r="A132" s="14" t="str">
        <v>Finland</v>
      </c>
      <c r="B132" s="14" t="str">
        <v>Helsinki</v>
      </c>
      <c r="C132" s="15">
        <v>7.0000000000000007E-2</v>
      </c>
      <c r="X132" s="1" t="str">
        <v>Paraguay</v>
      </c>
    </row>
    <row r="133" spans="1:24">
      <c r="A133" s="14" t="str">
        <v>Latvia</v>
      </c>
      <c r="B133" s="14" t="str">
        <v>Riga</v>
      </c>
      <c r="C133" s="15">
        <v>7.0000000000000007E-2</v>
      </c>
      <c r="X133" s="1" t="str">
        <v>Peru</v>
      </c>
    </row>
    <row r="134" spans="1:24">
      <c r="A134" s="14" t="str">
        <v>Mali</v>
      </c>
      <c r="B134" s="14" t="str">
        <v>Bamako</v>
      </c>
      <c r="C134" s="15">
        <v>7.0000000000000007E-2</v>
      </c>
      <c r="X134" s="1" t="str">
        <v>Philippines</v>
      </c>
    </row>
    <row r="135" spans="1:24">
      <c r="A135" s="14" t="str">
        <v>Mauritius</v>
      </c>
      <c r="B135" s="14" t="str">
        <v>Port Louis</v>
      </c>
      <c r="C135" s="15">
        <v>7.0000000000000007E-2</v>
      </c>
      <c r="X135" s="1" t="str">
        <v>Poland</v>
      </c>
    </row>
    <row r="136" spans="1:24">
      <c r="A136" s="14" t="str">
        <v>Nicaragua</v>
      </c>
      <c r="B136" s="14" t="str">
        <v>Managua</v>
      </c>
      <c r="C136" s="15">
        <v>7.0000000000000007E-2</v>
      </c>
      <c r="X136" s="1" t="str">
        <v>Portugal</v>
      </c>
    </row>
    <row r="137" spans="1:24">
      <c r="A137" s="14" t="str">
        <v>Senegal</v>
      </c>
      <c r="B137" s="14" t="str">
        <v>Dakar</v>
      </c>
      <c r="C137" s="15">
        <v>7.0000000000000007E-2</v>
      </c>
      <c r="X137" s="1" t="str">
        <v>Qatar</v>
      </c>
    </row>
    <row r="138" spans="1:24">
      <c r="A138" s="14" t="str">
        <v>Suriname</v>
      </c>
      <c r="B138" s="14" t="str">
        <v>Paramaribo</v>
      </c>
      <c r="C138" s="15">
        <v>7.0000000000000007E-2</v>
      </c>
      <c r="X138" s="1" t="str">
        <v>Republic of Ireland</v>
      </c>
    </row>
    <row r="139" spans="1:24">
      <c r="A139" s="14" t="str">
        <v>France</v>
      </c>
      <c r="B139" s="14" t="str">
        <v>Paris</v>
      </c>
      <c r="C139" s="15">
        <v>0.08</v>
      </c>
      <c r="X139" s="1" t="str">
        <v>Republic of the Congo</v>
      </c>
    </row>
    <row r="140" spans="1:24">
      <c r="A140" s="14" t="str">
        <v>Jamaica</v>
      </c>
      <c r="B140" s="14" t="str">
        <v>Kingston, Jamaica</v>
      </c>
      <c r="C140" s="15">
        <v>0.08</v>
      </c>
      <c r="X140" s="1" t="str">
        <v>Romania</v>
      </c>
    </row>
    <row r="141" spans="1:24">
      <c r="A141" s="14" t="str">
        <v>Nigeria</v>
      </c>
      <c r="B141" s="14" t="str">
        <v>Abuja</v>
      </c>
      <c r="C141" s="15">
        <v>0.08</v>
      </c>
      <c r="X141" s="1" t="str">
        <v>Russia</v>
      </c>
    </row>
    <row r="142" spans="1:24">
      <c r="A142" s="14" t="str">
        <v>Samoa</v>
      </c>
      <c r="B142" s="14" t="str">
        <v>Apia</v>
      </c>
      <c r="C142" s="15">
        <v>0.08</v>
      </c>
      <c r="X142" s="1" t="str">
        <v>Rwanda</v>
      </c>
    </row>
    <row r="143" spans="1:24">
      <c r="A143" s="14" t="str">
        <v>San Marino</v>
      </c>
      <c r="B143" s="14" t="str">
        <v>City of San Marino</v>
      </c>
      <c r="C143" s="15">
        <v>0.08</v>
      </c>
      <c r="X143" s="1" t="str">
        <v>Saint Kitts and Nevis</v>
      </c>
    </row>
    <row r="144" spans="1:24">
      <c r="A144" s="14" t="str">
        <v>São Tomé and Príncipe</v>
      </c>
      <c r="B144" s="14" t="str">
        <v>São Tomé</v>
      </c>
      <c r="C144" s="15">
        <v>0.08</v>
      </c>
      <c r="X144" s="1" t="str">
        <v>Saint Lucia</v>
      </c>
    </row>
    <row r="145" spans="1:24">
      <c r="A145" s="14" t="str">
        <v>Syria</v>
      </c>
      <c r="B145" s="14" t="str">
        <v>Damascus</v>
      </c>
      <c r="C145" s="15">
        <v>0.08</v>
      </c>
      <c r="X145" s="1" t="str">
        <v>Saint Vincent and the Grenadines</v>
      </c>
    </row>
    <row r="146" spans="1:24">
      <c r="A146" s="14" t="str">
        <v>Brunei</v>
      </c>
      <c r="B146" s="14" t="str">
        <v>Bandar Seri Begawan</v>
      </c>
      <c r="C146" s="15">
        <v>0.09</v>
      </c>
      <c r="X146" s="1" t="str">
        <v>Samoa</v>
      </c>
    </row>
    <row r="147" spans="1:24">
      <c r="A147" s="14" t="str">
        <v>Republic of the Congo</v>
      </c>
      <c r="B147" s="14" t="str">
        <v>Brazzaville</v>
      </c>
      <c r="C147" s="15">
        <v>0.09</v>
      </c>
      <c r="X147" s="1" t="str">
        <v>San Marino</v>
      </c>
    </row>
    <row r="148" spans="1:24">
      <c r="A148" s="14" t="str">
        <v>The Gambia</v>
      </c>
      <c r="B148" s="14" t="str">
        <v>Banjul</v>
      </c>
      <c r="C148" s="15">
        <v>0.09</v>
      </c>
      <c r="X148" s="1" t="str">
        <v>São Tomé and Príncipe</v>
      </c>
    </row>
    <row r="149" spans="1:24">
      <c r="A149" s="14" t="str">
        <v>Morocco</v>
      </c>
      <c r="B149" s="14" t="str">
        <v>Rabat</v>
      </c>
      <c r="C149" s="15">
        <v>0.09</v>
      </c>
      <c r="X149" s="1" t="str">
        <v>Saudi Arabia</v>
      </c>
    </row>
    <row r="150" spans="1:24">
      <c r="A150" s="14" t="str">
        <v>Ukraine</v>
      </c>
      <c r="B150" s="14" t="str">
        <v>Kyiv</v>
      </c>
      <c r="C150" s="15">
        <v>0.09</v>
      </c>
      <c r="X150" s="1" t="str">
        <v>Senegal</v>
      </c>
    </row>
    <row r="151" spans="1:24">
      <c r="A151" s="14" t="str">
        <v>Uruguay</v>
      </c>
      <c r="B151" s="14" t="str">
        <v>Montevideo</v>
      </c>
      <c r="C151" s="15">
        <v>0.09</v>
      </c>
      <c r="X151" s="1" t="str">
        <v>Serbia</v>
      </c>
    </row>
    <row r="152" spans="1:24">
      <c r="A152" s="14" t="str">
        <v>Venezuela</v>
      </c>
      <c r="B152" s="14" t="str">
        <v>Caracas</v>
      </c>
      <c r="C152" s="15">
        <v>0.09</v>
      </c>
      <c r="X152" s="1" t="str">
        <v>Seychelles</v>
      </c>
    </row>
    <row r="153" spans="1:24">
      <c r="A153" s="14" t="str">
        <v>Andorra</v>
      </c>
      <c r="B153" s="14" t="str">
        <v>Andorra la Vella</v>
      </c>
      <c r="C153" s="15">
        <v>0.1</v>
      </c>
      <c r="X153" s="1" t="str">
        <v>Sierra Leone</v>
      </c>
    </row>
    <row r="154" spans="1:24">
      <c r="A154" s="14" t="str">
        <v>Argentina</v>
      </c>
      <c r="B154" s="14" t="str">
        <v>Buenos Aires</v>
      </c>
      <c r="C154" s="15">
        <v>0.1</v>
      </c>
      <c r="X154" s="1" t="str">
        <v>Singapore</v>
      </c>
    </row>
    <row r="155" spans="1:24">
      <c r="A155" s="14" t="str">
        <v>The Bahamas</v>
      </c>
      <c r="B155" s="14" t="str">
        <v>Nassau, The Bahamas</v>
      </c>
      <c r="C155" s="15">
        <v>0.1</v>
      </c>
      <c r="X155" s="1" t="str">
        <v>Slovakia</v>
      </c>
    </row>
    <row r="156" spans="1:24">
      <c r="A156" s="14" t="str">
        <v>Barbados</v>
      </c>
      <c r="B156" s="14" t="str">
        <v>Bridgetown</v>
      </c>
      <c r="C156" s="15">
        <v>0.1</v>
      </c>
      <c r="X156" s="1" t="str">
        <v>Slovenia</v>
      </c>
    </row>
    <row r="157" spans="1:24">
      <c r="A157" s="14" t="str">
        <v>Colombia</v>
      </c>
      <c r="B157" s="14" t="str">
        <v>Bogotá</v>
      </c>
      <c r="C157" s="15">
        <v>0.1</v>
      </c>
      <c r="X157" s="1" t="str">
        <v>Solomon Islands</v>
      </c>
    </row>
    <row r="158" spans="1:24">
      <c r="A158" s="14" t="str">
        <v>Djibouti</v>
      </c>
      <c r="B158" s="14" t="str">
        <v>Djibouti City</v>
      </c>
      <c r="C158" s="15">
        <v>0.1</v>
      </c>
      <c r="X158" s="1" t="str">
        <v>Somalia</v>
      </c>
    </row>
    <row r="159" spans="1:24">
      <c r="A159" s="14" t="str">
        <v>Italy</v>
      </c>
      <c r="B159" s="14" t="str">
        <v>Rome</v>
      </c>
      <c r="C159" s="15">
        <v>0.1</v>
      </c>
      <c r="X159" s="1" t="str">
        <v>South Africa</v>
      </c>
    </row>
    <row r="160" spans="1:24">
      <c r="A160" s="14" t="str">
        <v>Mauritania</v>
      </c>
      <c r="B160" s="14" t="str">
        <v>Nouakchott</v>
      </c>
      <c r="C160" s="15">
        <v>0.1</v>
      </c>
      <c r="X160" s="1" t="str">
        <v>South Korea</v>
      </c>
    </row>
    <row r="161" spans="24:24">
      <c r="X161" s="1" t="str">
        <v>South Sudan</v>
      </c>
    </row>
    <row r="162" spans="24:24">
      <c r="X162" s="1" t="str">
        <v>Spain</v>
      </c>
    </row>
    <row r="163" spans="24:24">
      <c r="X163" s="1" t="str">
        <v>Sri Lanka</v>
      </c>
    </row>
    <row r="164" spans="24:24">
      <c r="X164" s="1" t="str">
        <v>Sudan</v>
      </c>
    </row>
    <row r="165" spans="24:24">
      <c r="X165" s="1" t="str">
        <v>Suriname</v>
      </c>
    </row>
    <row r="166" spans="24:24">
      <c r="X166" s="1" t="str">
        <v>Sweden</v>
      </c>
    </row>
    <row r="167" spans="24:24">
      <c r="X167" s="1" t="str">
        <v>Switzerland</v>
      </c>
    </row>
    <row r="168" spans="24:24">
      <c r="X168" s="1" t="str">
        <v>Syria</v>
      </c>
    </row>
    <row r="169" spans="24:24">
      <c r="X169" s="1" t="str">
        <v>Tajikistan</v>
      </c>
    </row>
    <row r="170" spans="24:24">
      <c r="X170" s="1" t="str">
        <v>Tanzania</v>
      </c>
    </row>
    <row r="171" spans="24:24">
      <c r="X171" s="1" t="str">
        <v>Thailand</v>
      </c>
    </row>
    <row r="172" spans="24:24">
      <c r="X172" s="1" t="str">
        <v>The Bahamas</v>
      </c>
    </row>
    <row r="173" spans="24:24">
      <c r="X173" s="1" t="str">
        <v>The Gambia</v>
      </c>
    </row>
    <row r="174" spans="24:24">
      <c r="X174" s="1" t="str">
        <v>Timor-Leste</v>
      </c>
    </row>
    <row r="175" spans="24:24">
      <c r="X175" s="1" t="str">
        <v>Togo</v>
      </c>
    </row>
    <row r="176" spans="24:24">
      <c r="X176" s="1" t="str">
        <v>Tonga</v>
      </c>
    </row>
    <row r="177" spans="24:24">
      <c r="X177" s="1" t="str">
        <v>Trinidad and Tobago</v>
      </c>
    </row>
    <row r="178" spans="24:24">
      <c r="X178" s="1" t="str">
        <v>Tunisia</v>
      </c>
    </row>
    <row r="179" spans="24:24">
      <c r="X179" s="1" t="str">
        <v>Turkey</v>
      </c>
    </row>
    <row r="180" spans="24:24">
      <c r="X180" s="1" t="str">
        <v>Turkmenistan</v>
      </c>
    </row>
    <row r="181" spans="24:24">
      <c r="X181" s="1" t="str">
        <v>Tuvalu</v>
      </c>
    </row>
    <row r="182" spans="24:24">
      <c r="X182" s="1" t="str">
        <v>Uganda</v>
      </c>
    </row>
    <row r="183" spans="24:24">
      <c r="X183" s="1" t="str">
        <v>Ukraine</v>
      </c>
    </row>
    <row r="184" spans="24:24">
      <c r="X184" s="1" t="str">
        <v>United Arab Emirates</v>
      </c>
    </row>
    <row r="185" spans="24:24">
      <c r="X185" s="1" t="str">
        <v>United Kingdom</v>
      </c>
    </row>
    <row r="186" spans="24:24">
      <c r="X186" s="1" t="str">
        <v>United States</v>
      </c>
    </row>
    <row r="187" spans="24:24">
      <c r="X187" s="1" t="str">
        <v>Uruguay</v>
      </c>
    </row>
    <row r="188" spans="24:24">
      <c r="X188" s="1" t="str">
        <v>Uzbekistan</v>
      </c>
    </row>
    <row r="189" spans="24:24">
      <c r="X189" s="1" t="str">
        <v>Vanuatu</v>
      </c>
    </row>
    <row r="190" spans="24:24">
      <c r="X190" s="1" t="str">
        <v>Venezuela</v>
      </c>
    </row>
    <row r="191" spans="24:24">
      <c r="X191" s="1" t="str">
        <v>Vietnam</v>
      </c>
    </row>
    <row r="192" spans="24:24">
      <c r="X192" s="1" t="str">
        <v>Yemen</v>
      </c>
    </row>
    <row r="193" spans="24:24">
      <c r="X193" s="1" t="str">
        <v>Zambia</v>
      </c>
    </row>
    <row r="194" spans="24:24">
      <c r="X194" s="1" t="str">
        <v>Zimbabwe</v>
      </c>
    </row>
  </sheetData>
  <mergeCells count="5">
    <mergeCell ref="A1:K1"/>
    <mergeCell ref="A2:K2"/>
    <mergeCell ref="A4:C4"/>
    <mergeCell ref="E4:G4"/>
    <mergeCell ref="I4:K4"/>
  </mergeCells>
  <dataValidations count="1">
    <dataValidation type="list" allowBlank="1" showInputMessage="1" showErrorMessage="1" sqref="J5" xr:uid="{84C3ACBF-514D-4EC7-9F06-A2CD694982CF}">
      <formula1>_xlfn.ANCHORARRAY($X$2)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B200B-64E1-4E66-A086-367B7640C869}">
  <dimension ref="A1:F16"/>
  <sheetViews>
    <sheetView showGridLines="0" workbookViewId="0">
      <pane ySplit="4" topLeftCell="A5" activePane="bottomLeft" state="frozen"/>
      <selection pane="bottomLeft" sqref="A1:F1"/>
    </sheetView>
  </sheetViews>
  <sheetFormatPr defaultRowHeight="15.6"/>
  <cols>
    <col min="1" max="1" width="15.125" style="1" customWidth="1"/>
    <col min="2" max="2" width="36.375" style="5" customWidth="1"/>
    <col min="3" max="3" width="13.875" style="1" customWidth="1"/>
    <col min="4" max="5" width="10.625" style="1" customWidth="1"/>
    <col min="6" max="6" width="34.75" style="5" customWidth="1"/>
    <col min="7" max="16384" width="9" style="1"/>
  </cols>
  <sheetData>
    <row r="1" spans="1:6" ht="21" customHeight="1">
      <c r="A1" s="99" t="s">
        <v>635</v>
      </c>
      <c r="B1" s="100"/>
      <c r="C1" s="100"/>
      <c r="D1" s="100"/>
      <c r="E1" s="100"/>
      <c r="F1" s="101"/>
    </row>
    <row r="2" spans="1:6" ht="37.799999999999997" customHeight="1">
      <c r="A2" s="44" t="s">
        <v>636</v>
      </c>
      <c r="B2" s="45"/>
      <c r="C2" s="45"/>
      <c r="D2" s="45"/>
      <c r="E2" s="45"/>
      <c r="F2" s="46"/>
    </row>
    <row r="4" spans="1:6">
      <c r="A4" s="64" t="s">
        <v>637</v>
      </c>
      <c r="B4" s="65" t="s">
        <v>638</v>
      </c>
      <c r="C4" s="66" t="s">
        <v>639</v>
      </c>
      <c r="D4" s="66" t="s">
        <v>640</v>
      </c>
      <c r="E4" s="66" t="s">
        <v>641</v>
      </c>
      <c r="F4" s="67" t="s">
        <v>642</v>
      </c>
    </row>
    <row r="5" spans="1:6" s="36" customFormat="1" ht="42.6" customHeight="1">
      <c r="A5" s="68" t="s">
        <v>643</v>
      </c>
      <c r="B5" s="69" t="s">
        <v>644</v>
      </c>
      <c r="C5" s="72">
        <f>ROWS(tblCountriesRaw[index])</f>
        <v>195</v>
      </c>
      <c r="D5" s="72">
        <f>ROWS(tblCountriesClean[Record_ID])</f>
        <v>195</v>
      </c>
      <c r="E5" s="72" t="str">
        <f>IF(C5=D5,"PASS","CHECK")</f>
        <v>PASS</v>
      </c>
      <c r="F5" s="73" t="s">
        <v>658</v>
      </c>
    </row>
    <row r="6" spans="1:6" s="36" customFormat="1" ht="42.6" customHeight="1">
      <c r="A6" s="68" t="s">
        <v>643</v>
      </c>
      <c r="B6" s="69" t="s">
        <v>645</v>
      </c>
      <c r="C6" s="72">
        <f>ROWS(tblCountriesRaw[index])</f>
        <v>195</v>
      </c>
      <c r="D6" s="72">
        <f>COUNTIF(tblCountriesClean[Data_Quality_Status],"&lt;&gt;")</f>
        <v>195</v>
      </c>
      <c r="E6" s="72" t="str">
        <f>IF(C6=D6,"PASS","CHECK")</f>
        <v>PASS</v>
      </c>
      <c r="F6" s="73" t="s">
        <v>659</v>
      </c>
    </row>
    <row r="7" spans="1:6" s="36" customFormat="1" ht="42.6" customHeight="1">
      <c r="A7" s="68" t="s">
        <v>643</v>
      </c>
      <c r="B7" s="69" t="s">
        <v>646</v>
      </c>
      <c r="C7" s="72">
        <f>ROWS(tblCorrections[Record_ID])</f>
        <v>7</v>
      </c>
      <c r="D7" s="72">
        <f>COUNTIF(tblCountriesClean[Data_Quality_Status],"CORRECTED")</f>
        <v>7</v>
      </c>
      <c r="E7" s="72" t="str">
        <f>IF(C7=D7,"PASS","CHECK")</f>
        <v>PASS</v>
      </c>
      <c r="F7" s="73" t="s">
        <v>660</v>
      </c>
    </row>
    <row r="8" spans="1:6" s="36" customFormat="1" ht="42.6" customHeight="1">
      <c r="A8" s="68" t="s">
        <v>647</v>
      </c>
      <c r="B8" s="69" t="s">
        <v>648</v>
      </c>
      <c r="C8" s="72">
        <f>0</f>
        <v>0</v>
      </c>
      <c r="D8" s="72">
        <f>SUM(COUNTBLANK(tblCountriesClean[Country]),COUNTBLANK(tblCountriesClean[ISO2_Code]),COUNTBLANK(tblCountriesClean[Area_km2]),COUNTBLANK(tblCountriesClean[Calling_Code]),COUNTBLANK(tblCountriesClean[Capital]),COUNTBLANK(tblCountriesClean[GDP_USD]),COUNTBLANK(tblCountriesClean[Population]),COUNTBLANK(tblCountriesClean[Unemployment_Rate]))</f>
        <v>0</v>
      </c>
      <c r="E8" s="72" t="str">
        <f>IF(C8=D8,"PASS","CHECK")</f>
        <v>PASS</v>
      </c>
      <c r="F8" s="73" t="s">
        <v>661</v>
      </c>
    </row>
    <row r="9" spans="1:6" s="36" customFormat="1" ht="42.6" customHeight="1">
      <c r="A9" s="68" t="s">
        <v>647</v>
      </c>
      <c r="B9" s="69" t="s">
        <v>649</v>
      </c>
      <c r="C9" s="72">
        <f>0</f>
        <v>0</v>
      </c>
      <c r="D9" s="72" cm="1">
        <f t="array" ref="D9">SUMPRODUCT(--(LEN(tblCountriesClean[ISO2_Code])&lt;&gt;2))</f>
        <v>0</v>
      </c>
      <c r="E9" s="72" t="str">
        <f>IF(C9=D9,"PASS","CHECK")</f>
        <v>PASS</v>
      </c>
      <c r="F9" s="73" t="s">
        <v>662</v>
      </c>
    </row>
    <row r="10" spans="1:6" s="36" customFormat="1" ht="42.6" customHeight="1">
      <c r="A10" s="68" t="s">
        <v>647</v>
      </c>
      <c r="B10" s="69" t="s">
        <v>650</v>
      </c>
      <c r="C10" s="72">
        <f>0</f>
        <v>0</v>
      </c>
      <c r="D10" s="72" cm="1">
        <f t="array" ref="D10">SUMPRODUCT((tblCountriesClean[Data_Quality_Status]&lt;&gt;"CHECK")*(COUNTIFS(tblCountriesClean[ISO2_Code],tblCountriesClean[ISO2_Code],tblCountriesClean[Data_Quality_Status],"&lt;&gt;CHECK")&gt;1))</f>
        <v>0</v>
      </c>
      <c r="E10" s="72" t="str">
        <f>IF(C10=D10,"PASS","CHECK")</f>
        <v>PASS</v>
      </c>
      <c r="F10" s="73" t="s">
        <v>663</v>
      </c>
    </row>
    <row r="11" spans="1:6" s="36" customFormat="1" ht="42.6" customHeight="1">
      <c r="A11" s="68" t="s">
        <v>647</v>
      </c>
      <c r="B11" s="69" t="s">
        <v>651</v>
      </c>
      <c r="C11" s="72">
        <f>0</f>
        <v>0</v>
      </c>
      <c r="D11" s="72" cm="1">
        <f t="array" ref="D11">SUMPRODUCT(--(IFERROR(1*tblCountriesClean[Area_km2],0)&lt;=0))+SUMPRODUCT(--(IFERROR(1*tblCountriesClean[GDP_USD],0)&lt;=0))+SUMPRODUCT(--(IFERROR(1*tblCountriesClean[Population],0)&lt;=0))</f>
        <v>0</v>
      </c>
      <c r="E11" s="72" t="str">
        <f>IF(C11=D11,"PASS","CHECK")</f>
        <v>PASS</v>
      </c>
      <c r="F11" s="73" t="s">
        <v>664</v>
      </c>
    </row>
    <row r="12" spans="1:6" s="36" customFormat="1" ht="42.6" customHeight="1">
      <c r="A12" s="68" t="s">
        <v>647</v>
      </c>
      <c r="B12" s="69" t="s">
        <v>652</v>
      </c>
      <c r="C12" s="72">
        <f>0</f>
        <v>0</v>
      </c>
      <c r="D12" s="72" cm="1">
        <f t="array" ref="D12">SUMPRODUCT(--(((IFERROR(1*tblCountriesClean[Unemployment_Rate],-1)&lt;0)+(IFERROR(1*tblCountriesClean[Unemployment_Rate],2)&gt;1))&gt;0))</f>
        <v>0</v>
      </c>
      <c r="E12" s="72" t="str">
        <f>IF(C12=D12,"PASS","CHECK")</f>
        <v>PASS</v>
      </c>
      <c r="F12" s="73" t="s">
        <v>665</v>
      </c>
    </row>
    <row r="13" spans="1:6" s="36" customFormat="1" ht="42.6" customHeight="1">
      <c r="A13" s="68" t="s">
        <v>647</v>
      </c>
      <c r="B13" s="69" t="s">
        <v>653</v>
      </c>
      <c r="C13" s="72">
        <f>2</f>
        <v>2</v>
      </c>
      <c r="D13" s="72">
        <f>COUNTIF(tblCountriesClean[Data_Quality_Status],"CHECK")</f>
        <v>2</v>
      </c>
      <c r="E13" s="72" t="str">
        <f>IF(C13=D13,"PASS","CHECK")</f>
        <v>PASS</v>
      </c>
      <c r="F13" s="73" t="s">
        <v>666</v>
      </c>
    </row>
    <row r="14" spans="1:6" s="36" customFormat="1" ht="42.6" customHeight="1">
      <c r="A14" s="68" t="s">
        <v>654</v>
      </c>
      <c r="B14" s="69" t="s">
        <v>655</v>
      </c>
      <c r="C14" s="72">
        <f>COUNTIFS(tblCountriesClean[Unemployment_Rate],"&lt;=10%",tblCountriesClean[Data_Quality_Status],"&lt;&gt;CHECK")</f>
        <v>155</v>
      </c>
      <c r="D14" s="72">
        <f>ROWS(_xlfn.ANCHORARRAY(Dynamic_Analysis!A6))</f>
        <v>155</v>
      </c>
      <c r="E14" s="72" t="str">
        <f>IF(C14=D14,"PASS","CHECK")</f>
        <v>PASS</v>
      </c>
      <c r="F14" s="73" t="s">
        <v>667</v>
      </c>
    </row>
    <row r="15" spans="1:6" s="36" customFormat="1" ht="42.6" customHeight="1">
      <c r="A15" s="68" t="s">
        <v>654</v>
      </c>
      <c r="B15" s="69" t="s">
        <v>656</v>
      </c>
      <c r="C15" s="72">
        <f>COUNTIFS(tblCountriesClean[GDP_USD],"&gt;"&amp;AVERAGEIFS(tblCountriesClean[GDP_USD],tblCountriesClean[Data_Quality_Status],"&lt;&gt;CHECK"),tblCountriesClean[Data_Quality_Status],"&lt;&gt;CHECK")</f>
        <v>25</v>
      </c>
      <c r="D15" s="72">
        <f>ROWS(_xlfn.ANCHORARRAY(Dynamic_Analysis!E8))</f>
        <v>25</v>
      </c>
      <c r="E15" s="72" t="str">
        <f>IF(C15=D15,"PASS","CHECK")</f>
        <v>PASS</v>
      </c>
      <c r="F15" s="73" t="s">
        <v>668</v>
      </c>
    </row>
    <row r="16" spans="1:6" s="36" customFormat="1" ht="42.6" customHeight="1">
      <c r="A16" s="70" t="s">
        <v>654</v>
      </c>
      <c r="B16" s="71" t="s">
        <v>657</v>
      </c>
      <c r="C16" s="74">
        <f>COUNTIFS(tblCountriesClean[GDP_USD],"&gt;="&amp;Dynamic_Analysis!$J$6*95%,tblCountriesClean[GDP_USD],"&lt;="&amp;Dynamic_Analysis!$J$6*105%,tblCountriesClean[Country],"&lt;&gt;"&amp;Dynamic_Analysis!$J$5,tblCountriesClean[Data_Quality_Status],"&lt;&gt;CHECK")</f>
        <v>3</v>
      </c>
      <c r="D16" s="74">
        <f>ROWS(_xlfn.ANCHORARRAY(Dynamic_Analysis!I9))</f>
        <v>3</v>
      </c>
      <c r="E16" s="74" t="str">
        <f>IF(C16=D16,"PASS","CHECK")</f>
        <v>PASS</v>
      </c>
      <c r="F16" s="75" t="s">
        <v>669</v>
      </c>
    </row>
  </sheetData>
  <mergeCells count="2">
    <mergeCell ref="A1:F1"/>
    <mergeCell ref="A2:F2"/>
  </mergeCells>
  <conditionalFormatting sqref="E5:E16">
    <cfRule type="containsText" dxfId="1" priority="1" operator="containsText" text="CHECK">
      <formula>NOT(ISERROR(SEARCH("CHECK",E5)))</formula>
    </cfRule>
    <cfRule type="containsText" dxfId="0" priority="2" operator="containsText" text="Pass">
      <formula>NOT(ISERROR(SEARCH("Pass",E5)))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407F4-76EE-4B9C-8CFC-678B2D4569FF}">
  <dimension ref="A1:K33"/>
  <sheetViews>
    <sheetView showGridLines="0" zoomScale="59" workbookViewId="0">
      <selection sqref="A1:K1"/>
    </sheetView>
  </sheetViews>
  <sheetFormatPr defaultColWidth="9.125" defaultRowHeight="15.6"/>
  <cols>
    <col min="1" max="1" width="12.375" style="36" bestFit="1" customWidth="1"/>
    <col min="2" max="2" width="18.375" style="36" bestFit="1" customWidth="1"/>
    <col min="3" max="3" width="26" style="53" bestFit="1" customWidth="1"/>
    <col min="4" max="4" width="9.125" style="36"/>
    <col min="5" max="5" width="24.375" style="36" customWidth="1"/>
    <col min="6" max="6" width="14.25" style="53" customWidth="1"/>
    <col min="7" max="7" width="9.125" style="36"/>
    <col min="8" max="8" width="18.875" style="32" customWidth="1"/>
    <col min="9" max="9" width="19.375" style="54" customWidth="1"/>
    <col min="10" max="10" width="9.125" style="36"/>
    <col min="11" max="11" width="17.625" style="36" customWidth="1"/>
    <col min="12" max="16384" width="9.125" style="36"/>
  </cols>
  <sheetData>
    <row r="1" spans="1:11" ht="23.4">
      <c r="A1" s="98" t="s">
        <v>673</v>
      </c>
      <c r="B1" s="98"/>
      <c r="C1" s="98"/>
      <c r="D1" s="98"/>
      <c r="E1" s="98"/>
      <c r="F1" s="98"/>
      <c r="G1" s="98"/>
      <c r="H1" s="98"/>
      <c r="I1" s="98"/>
      <c r="J1" s="98"/>
      <c r="K1" s="98"/>
    </row>
    <row r="2" spans="1:11">
      <c r="A2" s="49" t="s">
        <v>674</v>
      </c>
      <c r="B2" s="49"/>
      <c r="C2" s="49"/>
      <c r="D2" s="49"/>
      <c r="E2" s="49"/>
      <c r="F2" s="49"/>
      <c r="G2" s="49"/>
      <c r="H2" s="49"/>
      <c r="I2" s="49"/>
      <c r="J2" s="49"/>
      <c r="K2" s="49"/>
    </row>
    <row r="4" spans="1:11" ht="21" customHeight="1">
      <c r="A4" s="60" t="s">
        <v>675</v>
      </c>
      <c r="B4" s="60"/>
      <c r="C4" s="36"/>
      <c r="D4" s="60" t="s">
        <v>676</v>
      </c>
      <c r="E4" s="60"/>
      <c r="F4" s="36"/>
      <c r="G4" s="60" t="s">
        <v>677</v>
      </c>
      <c r="H4" s="60"/>
      <c r="I4" s="36"/>
      <c r="J4" s="60" t="s">
        <v>678</v>
      </c>
      <c r="K4" s="60"/>
    </row>
    <row r="5" spans="1:11">
      <c r="A5" s="50">
        <f>COUNTIF(tblCountriesClean[Data_Quality_Status],"&lt;&gt;CHECK")</f>
        <v>193</v>
      </c>
      <c r="B5" s="50"/>
      <c r="D5" s="51">
        <f>AVERAGEIFS(tblCountriesClean[GDP_USD],tblCountriesClean[Data_Quality_Status],"&lt;&gt;CHECK")</f>
        <v>477295901399.53888</v>
      </c>
      <c r="E5" s="51"/>
      <c r="G5" s="51" cm="1">
        <f t="array" ref="G5">MEDIAN(_xlfn._xlws.FILTER(tblCountriesClean[GDP_USD],tblCountriesClean[Data_Quality_Status]&lt;&gt;"CHECK"))</f>
        <v>34387229486</v>
      </c>
      <c r="H5" s="51"/>
      <c r="J5" s="52">
        <f>AVERAGEIFS(tblCountriesClean[Unemployment_Rate],tblCountriesClean[Data_Quality_Status],"&lt;&gt;CHECK")</f>
        <v>6.6269430051813391E-2</v>
      </c>
      <c r="K5" s="52"/>
    </row>
    <row r="6" spans="1:11">
      <c r="A6" s="50"/>
      <c r="B6" s="50"/>
      <c r="D6" s="51"/>
      <c r="E6" s="51"/>
      <c r="G6" s="51"/>
      <c r="H6" s="51"/>
      <c r="J6" s="52"/>
      <c r="K6" s="52"/>
    </row>
    <row r="8" spans="1:11">
      <c r="A8" s="60" t="s">
        <v>679</v>
      </c>
      <c r="B8" s="60"/>
      <c r="D8" s="60" t="s">
        <v>680</v>
      </c>
      <c r="E8" s="60"/>
      <c r="G8" s="60" t="s">
        <v>681</v>
      </c>
      <c r="H8" s="60"/>
      <c r="J8" s="60" t="s">
        <v>682</v>
      </c>
      <c r="K8" s="60"/>
    </row>
    <row r="9" spans="1:11" s="38" customFormat="1">
      <c r="A9" s="50">
        <f>COUNTIFS(tblCountriesClean[Unemployment_Rate],"&lt;=10%",tblCountriesClean[Data_Quality_Status],"&lt;&gt;CHECK")</f>
        <v>155</v>
      </c>
      <c r="B9" s="50"/>
      <c r="D9" s="50">
        <f>COUNTIFS(tblCountriesClean[GDP_USD],"&gt;"&amp;$D$5,tblCountriesClean[Data_Quality_Status],"&lt;&gt;CHECK")</f>
        <v>25</v>
      </c>
      <c r="E9" s="50"/>
      <c r="G9" s="50">
        <f>COUNTIF(tblCountriesClean[Data_Quality_Status],"CORRECTED")</f>
        <v>7</v>
      </c>
      <c r="H9" s="50"/>
      <c r="I9" s="55"/>
      <c r="J9" s="50">
        <f>COUNTIF(tblCountriesClean[Data_Quality_Status],"CHECK")</f>
        <v>2</v>
      </c>
      <c r="K9" s="50"/>
    </row>
    <row r="11" spans="1:11">
      <c r="A11" s="49" t="s">
        <v>670</v>
      </c>
      <c r="B11" s="49"/>
      <c r="C11" s="49"/>
      <c r="E11" s="49" t="s">
        <v>671</v>
      </c>
      <c r="F11" s="49"/>
      <c r="H11" s="49" t="s">
        <v>672</v>
      </c>
      <c r="I11" s="49"/>
    </row>
    <row r="12" spans="1:11" s="32" customFormat="1" ht="31.2">
      <c r="A12" s="57" t="s">
        <v>620</v>
      </c>
      <c r="B12" s="57" t="s">
        <v>585</v>
      </c>
      <c r="C12" s="58" t="s">
        <v>618</v>
      </c>
      <c r="E12" s="57" t="s">
        <v>585</v>
      </c>
      <c r="F12" s="58" t="s">
        <v>621</v>
      </c>
      <c r="H12" s="57" t="s">
        <v>585</v>
      </c>
      <c r="I12" s="59" t="s">
        <v>619</v>
      </c>
    </row>
    <row r="13" spans="1:11">
      <c r="A13" s="19" cm="1">
        <f t="array" ref="A13:C22">_xlfn._xlws.SORT(_xlfn._xlws.FILTER(CHOOSE({1,2,3},tblCountriesClean[GDP_Rank],tblCountriesClean[Country],tblCountriesClean[GDP_USD]),(tblCountriesClean[GDP_Rank]&lt;=10)*(tblCountriesClean[Data_Quality_Status]&lt;&gt;"CHECK")),1,1)</f>
        <v>1</v>
      </c>
      <c r="B13" s="19" t="str">
        <v>United States</v>
      </c>
      <c r="C13" s="61">
        <v>21427700000000</v>
      </c>
      <c r="E13" s="19" t="str" cm="1">
        <f t="array" ref="E13:F22">_xlfn._xlws.SORT(_xlfn._xlws.FILTER(CHOOSE({1,2},tblCountriesClean[Country],tblCountriesClean[GDP_per_Capita]),(tblCountriesClean[GDP_per_Capita]&gt;=LARGE(_xlfn._xlws.FILTER(tblCountriesClean[GDP_per_Capita],tblCountriesClean[Data_Quality_Status]&lt;&gt;"CHECK"),10))*(tblCountriesClean[Data_Quality_Status]&lt;&gt;"CHECK")),2,-1)</f>
        <v>Monaco</v>
      </c>
      <c r="F13" s="62">
        <v>197012.37195974664</v>
      </c>
      <c r="H13" s="17" t="str" cm="1">
        <f t="array" ref="H13:I24">_xlfn._xlws.SORT(_xlfn._xlws.FILTER(CHOOSE({1,2},tblCountriesClean[Country],tblCountriesClean[Unemployment_Rate]),(tblCountriesClean[Unemployment_Rate]&gt;=LARGE(_xlfn._xlws.FILTER(tblCountriesClean[Unemployment_Rate],tblCountriesClean[Data_Quality_Status]&lt;&gt;"CHECK"),10))*(tblCountriesClean[Data_Quality_Status]&lt;&gt;"CHECK")),2,-1)</f>
        <v>South Africa</v>
      </c>
      <c r="I13" s="56">
        <v>0.28000000000000003</v>
      </c>
    </row>
    <row r="14" spans="1:11">
      <c r="A14" s="19">
        <v>2</v>
      </c>
      <c r="B14" s="19" t="str">
        <v>China</v>
      </c>
      <c r="C14" s="61">
        <v>19910000000000</v>
      </c>
      <c r="E14" s="19" t="str">
        <v>Liechtenstein</v>
      </c>
      <c r="F14" s="62">
        <v>166624.93297225825</v>
      </c>
      <c r="H14" s="17" t="str">
        <v>Lesotho</v>
      </c>
      <c r="I14" s="56">
        <v>0.23</v>
      </c>
    </row>
    <row r="15" spans="1:11">
      <c r="A15" s="19">
        <v>3</v>
      </c>
      <c r="B15" s="19" t="str">
        <v>Japan</v>
      </c>
      <c r="C15" s="61">
        <v>5081769542380</v>
      </c>
      <c r="E15" s="19" t="str">
        <v>Luxembourg</v>
      </c>
      <c r="F15" s="62">
        <v>109262.0773233104</v>
      </c>
      <c r="H15" s="17" t="str">
        <v>Saint Lucia</v>
      </c>
      <c r="I15" s="56">
        <v>0.21</v>
      </c>
    </row>
    <row r="16" spans="1:11">
      <c r="A16" s="19">
        <v>4</v>
      </c>
      <c r="B16" s="19" t="str">
        <v>Germany</v>
      </c>
      <c r="C16" s="61">
        <v>3845630030824</v>
      </c>
      <c r="E16" s="19" t="str">
        <v>Switzerland</v>
      </c>
      <c r="F16" s="62">
        <v>80171.402480415331</v>
      </c>
      <c r="H16" s="17" t="str">
        <v>Gabon</v>
      </c>
      <c r="I16" s="56">
        <v>0.2</v>
      </c>
    </row>
    <row r="17" spans="1:11">
      <c r="A17" s="19">
        <v>5</v>
      </c>
      <c r="B17" s="19" t="str">
        <v>United Kingdom</v>
      </c>
      <c r="C17" s="61">
        <v>2827113184696</v>
      </c>
      <c r="E17" s="19" t="str">
        <v>Republic of Ireland</v>
      </c>
      <c r="F17" s="62">
        <v>76410.384956284543</v>
      </c>
      <c r="H17" s="17" t="str">
        <v>Namibia</v>
      </c>
      <c r="I17" s="56">
        <v>0.2</v>
      </c>
    </row>
    <row r="18" spans="1:11">
      <c r="A18" s="19">
        <v>6</v>
      </c>
      <c r="B18" s="19" t="str">
        <v>France</v>
      </c>
      <c r="C18" s="61">
        <v>2715518274227</v>
      </c>
      <c r="E18" s="19" t="str">
        <v>Norway</v>
      </c>
      <c r="F18" s="62">
        <v>73910.0196194811</v>
      </c>
      <c r="H18" s="17" t="str">
        <v>Libya</v>
      </c>
      <c r="I18" s="56">
        <v>0.19</v>
      </c>
    </row>
    <row r="19" spans="1:11" ht="46.8">
      <c r="A19" s="19">
        <v>7</v>
      </c>
      <c r="B19" s="19" t="str">
        <v>India</v>
      </c>
      <c r="C19" s="61">
        <v>2611000000000</v>
      </c>
      <c r="E19" s="19" t="str">
        <v>Qatar</v>
      </c>
      <c r="F19" s="62">
        <v>68073.433703928808</v>
      </c>
      <c r="H19" s="17" t="str">
        <v>Saint Vincent and the Grenadines</v>
      </c>
      <c r="I19" s="56">
        <v>0.19</v>
      </c>
    </row>
    <row r="20" spans="1:11" ht="31.2">
      <c r="A20" s="19">
        <v>8</v>
      </c>
      <c r="B20" s="19" t="str">
        <v>South Korea</v>
      </c>
      <c r="C20" s="61">
        <v>2029000000000</v>
      </c>
      <c r="E20" s="19" t="str">
        <v>Singapore</v>
      </c>
      <c r="F20" s="62">
        <v>66003.383965682588</v>
      </c>
      <c r="H20" s="17" t="str">
        <v>Bosnia and Herzegovina</v>
      </c>
      <c r="I20" s="56">
        <v>0.18</v>
      </c>
    </row>
    <row r="21" spans="1:11">
      <c r="A21" s="19">
        <v>9</v>
      </c>
      <c r="B21" s="19" t="str">
        <v>Italy</v>
      </c>
      <c r="C21" s="61">
        <v>2001244392042</v>
      </c>
      <c r="E21" s="19" t="str">
        <v>United States</v>
      </c>
      <c r="F21" s="62">
        <v>64291.929146337738</v>
      </c>
      <c r="H21" s="17" t="str">
        <v>Botswana</v>
      </c>
      <c r="I21" s="56">
        <v>0.18</v>
      </c>
    </row>
    <row r="22" spans="1:11">
      <c r="A22" s="19">
        <v>10</v>
      </c>
      <c r="B22" s="19" t="str">
        <v>Brazil</v>
      </c>
      <c r="C22" s="61">
        <v>1839758040766</v>
      </c>
      <c r="E22" s="19" t="str">
        <v>Iceland</v>
      </c>
      <c r="F22" s="62">
        <v>63336.045401937678</v>
      </c>
      <c r="H22" s="17" t="str">
        <v>Armenia</v>
      </c>
      <c r="I22" s="56">
        <v>0.17</v>
      </c>
    </row>
    <row r="23" spans="1:11">
      <c r="H23" s="17" t="str">
        <v>Greece</v>
      </c>
      <c r="I23" s="56">
        <v>0.17</v>
      </c>
    </row>
    <row r="24" spans="1:11">
      <c r="H24" s="17" t="str">
        <v>Sudan</v>
      </c>
      <c r="I24" s="56">
        <v>0.17</v>
      </c>
    </row>
    <row r="28" spans="1:11">
      <c r="A28" s="49" t="s">
        <v>683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</row>
    <row r="29" spans="1:11">
      <c r="A29" s="63" t="str">
        <f>"Average GDP is "&amp;TEXT($D$5,"$0.0,,,""B""")&amp;", while the median is "&amp;TEXT($G$5,"$0.0,,,""B""")&amp;". A few very large economies pull the average up."</f>
        <v>Average GDP is $477.3B, while the median is $34.4B. A few very large economies pull the average up.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</row>
    <row r="30" spans="1:11">
      <c r="A30" s="63" t="str">
        <f>"Only "&amp;TEXT($D$9,"0")&amp;" of "&amp;TEXT($A$5,"0")&amp;" countries are above the average GDP."</f>
        <v>Only 25 of 193 countries are above the average GDP.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</row>
    <row r="31" spans="1:11">
      <c r="A31" s="63" t="str" cm="1">
        <f t="array" ref="A31">"The United States and China together make up "&amp;TEXT(SUM(LARGE(_xlfn._xlws.FILTER(tblCountriesClean[GDP_USD],tblCountriesClean[Data_Quality_Status]&lt;&gt;"CHECK"),{1,2}))/SUM(_xlfn._xlws.FILTER(tblCountriesClean[GDP_USD],tblCountriesClean[Data_Quality_Status]&lt;&gt;"CHECK")),"0.0%")&amp;" of total GDP in this dataset."</f>
        <v>The United States and China together make up 44.9% of total GDP in this dataset.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</row>
    <row r="32" spans="1:11">
      <c r="A32" s="63" t="str" cm="1">
        <f t="array" ref="A32">TEXT($A$9,"0")&amp;" countries have unemployment rates of 10% or lower. "&amp;_xlfn.XLOOKUP(MAX(_xlfn._xlws.FILTER(tblCountriesClean[Unemployment_Rate],tblCountriesClean[Data_Quality_Status]&lt;&gt;"CHECK")),tblCountriesClean[Unemployment_Rate],tblCountriesClean[Country])&amp;" has the highest rate at "&amp;TEXT(MAX(_xlfn._xlws.FILTER(tblCountriesClean[Unemployment_Rate],tblCountriesClean[Data_Quality_Status]&lt;&gt;"CHECK")),"0%")&amp;"."</f>
        <v>155 countries have unemployment rates of 10% or lower. South Africa has the highest rate at 28%.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</row>
    <row r="33" spans="1:11">
      <c r="A33" s="63" t="str">
        <f>TEXT($G$9,"0")&amp;" records were corrected, and "&amp;TEXT($J$9,"0")&amp;" were kept out of the analysis because they still need review."</f>
        <v>7 records were corrected, and 2 were kept out of the analysis because they still need review.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</row>
  </sheetData>
  <mergeCells count="27">
    <mergeCell ref="A31:K31"/>
    <mergeCell ref="A32:K32"/>
    <mergeCell ref="A33:K33"/>
    <mergeCell ref="A11:C11"/>
    <mergeCell ref="E11:F11"/>
    <mergeCell ref="H11:I11"/>
    <mergeCell ref="A28:K28"/>
    <mergeCell ref="A29:K29"/>
    <mergeCell ref="A30:K30"/>
    <mergeCell ref="J5:K6"/>
    <mergeCell ref="A8:B8"/>
    <mergeCell ref="A9:B9"/>
    <mergeCell ref="D8:E8"/>
    <mergeCell ref="D9:E9"/>
    <mergeCell ref="G8:H8"/>
    <mergeCell ref="G9:H9"/>
    <mergeCell ref="J8:K8"/>
    <mergeCell ref="J9:K9"/>
    <mergeCell ref="A4:B4"/>
    <mergeCell ref="D4:E4"/>
    <mergeCell ref="G4:H4"/>
    <mergeCell ref="G5:H6"/>
    <mergeCell ref="D5:E6"/>
    <mergeCell ref="A5:B6"/>
    <mergeCell ref="J4:K4"/>
    <mergeCell ref="A1:K1"/>
    <mergeCell ref="A2:K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49090-7C88-4F88-9B22-6B7720109943}">
  <dimension ref="A1:H68"/>
  <sheetViews>
    <sheetView showGridLines="0" workbookViewId="0">
      <selection activeCell="A2" sqref="A2:H2"/>
    </sheetView>
  </sheetViews>
  <sheetFormatPr defaultRowHeight="13.8"/>
  <cols>
    <col min="1" max="1" width="20" style="79" customWidth="1"/>
    <col min="2" max="2" width="10" style="79" customWidth="1"/>
    <col min="3" max="3" width="22.5" style="79" customWidth="1"/>
    <col min="4" max="8" width="17.5" style="79" customWidth="1"/>
    <col min="9" max="16384" width="9" style="79"/>
  </cols>
  <sheetData>
    <row r="1" spans="1:8" ht="34.049999999999997" customHeight="1">
      <c r="A1" s="78" t="s">
        <v>758</v>
      </c>
      <c r="B1" s="78"/>
      <c r="C1" s="78"/>
      <c r="D1" s="78"/>
      <c r="E1" s="78"/>
      <c r="F1" s="78"/>
      <c r="G1" s="78"/>
      <c r="H1" s="78"/>
    </row>
    <row r="2" spans="1:8" ht="24" customHeight="1">
      <c r="A2" s="77" t="s">
        <v>761</v>
      </c>
      <c r="B2" s="77"/>
      <c r="C2" s="77"/>
      <c r="D2" s="77"/>
      <c r="E2" s="77"/>
      <c r="F2" s="77"/>
      <c r="G2" s="77"/>
      <c r="H2" s="77"/>
    </row>
    <row r="3" spans="1:8" ht="14.4">
      <c r="A3" s="80"/>
      <c r="B3" s="80"/>
      <c r="C3" s="80"/>
      <c r="D3" s="80"/>
      <c r="E3" s="80"/>
      <c r="F3" s="80"/>
      <c r="G3" s="80"/>
      <c r="H3" s="80"/>
    </row>
    <row r="4" spans="1:8" ht="24" customHeight="1">
      <c r="A4" s="81" t="s">
        <v>760</v>
      </c>
      <c r="B4" s="81"/>
      <c r="C4" s="81"/>
      <c r="D4" s="81"/>
      <c r="E4" s="81"/>
      <c r="F4" s="81"/>
      <c r="G4" s="81"/>
      <c r="H4" s="81"/>
    </row>
    <row r="5" spans="1:8" ht="24" customHeight="1">
      <c r="A5" s="82" t="s">
        <v>759</v>
      </c>
      <c r="B5" s="82"/>
      <c r="C5" s="83" t="s">
        <v>758</v>
      </c>
      <c r="D5" s="83"/>
      <c r="E5" s="83"/>
      <c r="F5" s="83"/>
      <c r="G5" s="83"/>
      <c r="H5" s="83"/>
    </row>
    <row r="6" spans="1:8" ht="24" customHeight="1">
      <c r="A6" s="82" t="s">
        <v>757</v>
      </c>
      <c r="B6" s="82"/>
      <c r="C6" s="83" t="s">
        <v>756</v>
      </c>
      <c r="D6" s="83"/>
      <c r="E6" s="83"/>
      <c r="F6" s="83"/>
      <c r="G6" s="83"/>
      <c r="H6" s="83"/>
    </row>
    <row r="7" spans="1:8" ht="24" customHeight="1">
      <c r="A7" s="82" t="s">
        <v>755</v>
      </c>
      <c r="B7" s="82"/>
      <c r="C7" s="83" t="s">
        <v>754</v>
      </c>
      <c r="D7" s="83"/>
      <c r="E7" s="83"/>
      <c r="F7" s="83"/>
      <c r="G7" s="83"/>
      <c r="H7" s="83"/>
    </row>
    <row r="8" spans="1:8" ht="24" customHeight="1">
      <c r="A8" s="82" t="s">
        <v>753</v>
      </c>
      <c r="B8" s="82"/>
      <c r="C8" s="83" t="s">
        <v>752</v>
      </c>
      <c r="D8" s="83"/>
      <c r="E8" s="83"/>
      <c r="F8" s="83"/>
      <c r="G8" s="83"/>
      <c r="H8" s="83"/>
    </row>
    <row r="9" spans="1:8" ht="24" customHeight="1">
      <c r="A9" s="82" t="s">
        <v>751</v>
      </c>
      <c r="B9" s="82"/>
      <c r="C9" s="83" t="s">
        <v>750</v>
      </c>
      <c r="D9" s="83"/>
      <c r="E9" s="83"/>
      <c r="F9" s="83"/>
      <c r="G9" s="83"/>
      <c r="H9" s="83"/>
    </row>
    <row r="10" spans="1:8" ht="14.4">
      <c r="A10" s="80"/>
      <c r="B10" s="80"/>
      <c r="C10" s="80"/>
      <c r="D10" s="80"/>
      <c r="E10" s="80"/>
      <c r="F10" s="80"/>
      <c r="G10" s="80"/>
      <c r="H10" s="80"/>
    </row>
    <row r="11" spans="1:8" ht="24" customHeight="1">
      <c r="A11" s="81" t="s">
        <v>749</v>
      </c>
      <c r="B11" s="81"/>
      <c r="C11" s="81"/>
      <c r="D11" s="81"/>
      <c r="E11" s="81"/>
      <c r="F11" s="81"/>
      <c r="G11" s="81"/>
      <c r="H11" s="81"/>
    </row>
    <row r="12" spans="1:8">
      <c r="A12" s="84" t="s">
        <v>748</v>
      </c>
      <c r="B12" s="85"/>
      <c r="C12" s="85"/>
      <c r="D12" s="85"/>
      <c r="E12" s="85"/>
      <c r="F12" s="85"/>
      <c r="G12" s="85"/>
      <c r="H12" s="86"/>
    </row>
    <row r="13" spans="1:8">
      <c r="A13" s="87"/>
      <c r="B13" s="88"/>
      <c r="C13" s="88"/>
      <c r="D13" s="88"/>
      <c r="E13" s="88"/>
      <c r="F13" s="88"/>
      <c r="G13" s="88"/>
      <c r="H13" s="89"/>
    </row>
    <row r="14" spans="1:8">
      <c r="A14" s="90"/>
      <c r="B14" s="91"/>
      <c r="C14" s="91"/>
      <c r="D14" s="91"/>
      <c r="E14" s="91"/>
      <c r="F14" s="91"/>
      <c r="G14" s="91"/>
      <c r="H14" s="92"/>
    </row>
    <row r="15" spans="1:8" ht="14.4">
      <c r="A15" s="80"/>
      <c r="B15" s="80"/>
      <c r="C15" s="80"/>
      <c r="D15" s="80"/>
      <c r="E15" s="80"/>
      <c r="F15" s="80"/>
      <c r="G15" s="80"/>
      <c r="H15" s="80"/>
    </row>
    <row r="16" spans="1:8" ht="24" customHeight="1">
      <c r="A16" s="81" t="s">
        <v>747</v>
      </c>
      <c r="B16" s="81"/>
      <c r="C16" s="81"/>
      <c r="D16" s="81"/>
      <c r="E16" s="81"/>
      <c r="F16" s="81"/>
      <c r="G16" s="81"/>
      <c r="H16" s="81"/>
    </row>
    <row r="17" spans="1:8" ht="22.95" customHeight="1">
      <c r="A17" s="93" t="s">
        <v>746</v>
      </c>
      <c r="B17" s="93"/>
      <c r="C17" s="93" t="s">
        <v>745</v>
      </c>
      <c r="D17" s="93"/>
      <c r="E17" s="93"/>
      <c r="F17" s="93"/>
      <c r="G17" s="93"/>
      <c r="H17" s="93"/>
    </row>
    <row r="18" spans="1:8" ht="25.05" customHeight="1">
      <c r="A18" s="94" t="s">
        <v>744</v>
      </c>
      <c r="B18" s="94"/>
      <c r="C18" s="83" t="s">
        <v>743</v>
      </c>
      <c r="D18" s="83"/>
      <c r="E18" s="83"/>
      <c r="F18" s="83"/>
      <c r="G18" s="83"/>
      <c r="H18" s="83"/>
    </row>
    <row r="19" spans="1:8" ht="25.05" customHeight="1">
      <c r="A19" s="95" t="s">
        <v>742</v>
      </c>
      <c r="B19" s="95"/>
      <c r="C19" s="96" t="s">
        <v>741</v>
      </c>
      <c r="D19" s="96"/>
      <c r="E19" s="96"/>
      <c r="F19" s="96"/>
      <c r="G19" s="96"/>
      <c r="H19" s="96"/>
    </row>
    <row r="20" spans="1:8" ht="25.05" customHeight="1">
      <c r="A20" s="94" t="s">
        <v>740</v>
      </c>
      <c r="B20" s="94"/>
      <c r="C20" s="83" t="s">
        <v>739</v>
      </c>
      <c r="D20" s="83"/>
      <c r="E20" s="83"/>
      <c r="F20" s="83"/>
      <c r="G20" s="83"/>
      <c r="H20" s="83"/>
    </row>
    <row r="21" spans="1:8" ht="25.05" customHeight="1">
      <c r="A21" s="95" t="s">
        <v>738</v>
      </c>
      <c r="B21" s="95"/>
      <c r="C21" s="96" t="s">
        <v>737</v>
      </c>
      <c r="D21" s="96"/>
      <c r="E21" s="96"/>
      <c r="F21" s="96"/>
      <c r="G21" s="96"/>
      <c r="H21" s="96"/>
    </row>
    <row r="22" spans="1:8" ht="25.05" customHeight="1">
      <c r="A22" s="94" t="s">
        <v>736</v>
      </c>
      <c r="B22" s="94"/>
      <c r="C22" s="83" t="s">
        <v>735</v>
      </c>
      <c r="D22" s="83"/>
      <c r="E22" s="83"/>
      <c r="F22" s="83"/>
      <c r="G22" s="83"/>
      <c r="H22" s="83"/>
    </row>
    <row r="23" spans="1:8" ht="25.05" customHeight="1">
      <c r="A23" s="95" t="s">
        <v>734</v>
      </c>
      <c r="B23" s="95"/>
      <c r="C23" s="96" t="s">
        <v>733</v>
      </c>
      <c r="D23" s="96"/>
      <c r="E23" s="96"/>
      <c r="F23" s="96"/>
      <c r="G23" s="96"/>
      <c r="H23" s="96"/>
    </row>
    <row r="24" spans="1:8" ht="25.05" customHeight="1">
      <c r="A24" s="94" t="s">
        <v>732</v>
      </c>
      <c r="B24" s="94"/>
      <c r="C24" s="83" t="s">
        <v>731</v>
      </c>
      <c r="D24" s="83"/>
      <c r="E24" s="83"/>
      <c r="F24" s="83"/>
      <c r="G24" s="83"/>
      <c r="H24" s="83"/>
    </row>
    <row r="25" spans="1:8" ht="14.4">
      <c r="A25" s="80"/>
      <c r="B25" s="80"/>
      <c r="C25" s="80"/>
      <c r="D25" s="80"/>
      <c r="E25" s="80"/>
      <c r="F25" s="80"/>
      <c r="G25" s="80"/>
      <c r="H25" s="80"/>
    </row>
    <row r="26" spans="1:8" ht="24" customHeight="1">
      <c r="A26" s="81" t="s">
        <v>730</v>
      </c>
      <c r="B26" s="81"/>
      <c r="C26" s="81"/>
      <c r="D26" s="81"/>
      <c r="E26" s="81"/>
      <c r="F26" s="81"/>
      <c r="G26" s="81"/>
      <c r="H26" s="81"/>
    </row>
    <row r="27" spans="1:8" ht="22.95" customHeight="1">
      <c r="A27" s="93" t="s">
        <v>641</v>
      </c>
      <c r="B27" s="93"/>
      <c r="C27" s="93" t="s">
        <v>729</v>
      </c>
      <c r="D27" s="93"/>
      <c r="E27" s="93"/>
      <c r="F27" s="93"/>
      <c r="G27" s="93"/>
      <c r="H27" s="93"/>
    </row>
    <row r="28" spans="1:8" ht="25.05" customHeight="1">
      <c r="A28" s="94" t="s">
        <v>728</v>
      </c>
      <c r="B28" s="94"/>
      <c r="C28" s="83" t="s">
        <v>727</v>
      </c>
      <c r="D28" s="83"/>
      <c r="E28" s="83"/>
      <c r="F28" s="83"/>
      <c r="G28" s="83"/>
      <c r="H28" s="83"/>
    </row>
    <row r="29" spans="1:8" ht="25.05" customHeight="1">
      <c r="A29" s="95" t="s">
        <v>726</v>
      </c>
      <c r="B29" s="95"/>
      <c r="C29" s="96" t="s">
        <v>725</v>
      </c>
      <c r="D29" s="96"/>
      <c r="E29" s="96"/>
      <c r="F29" s="96"/>
      <c r="G29" s="96"/>
      <c r="H29" s="96"/>
    </row>
    <row r="30" spans="1:8" ht="25.05" customHeight="1">
      <c r="A30" s="94" t="s">
        <v>724</v>
      </c>
      <c r="B30" s="94"/>
      <c r="C30" s="83" t="s">
        <v>723</v>
      </c>
      <c r="D30" s="83"/>
      <c r="E30" s="83"/>
      <c r="F30" s="83"/>
      <c r="G30" s="83"/>
      <c r="H30" s="83"/>
    </row>
    <row r="31" spans="1:8" ht="14.4">
      <c r="A31" s="80"/>
      <c r="B31" s="80"/>
      <c r="C31" s="80"/>
      <c r="D31" s="80"/>
      <c r="E31" s="80"/>
      <c r="F31" s="80"/>
      <c r="G31" s="80"/>
      <c r="H31" s="80"/>
    </row>
    <row r="32" spans="1:8" ht="24" customHeight="1">
      <c r="A32" s="81" t="s">
        <v>722</v>
      </c>
      <c r="B32" s="81"/>
      <c r="C32" s="81"/>
      <c r="D32" s="81"/>
      <c r="E32" s="81"/>
      <c r="F32" s="81"/>
      <c r="G32" s="81"/>
      <c r="H32" s="81"/>
    </row>
    <row r="33" spans="1:8" ht="22.95" customHeight="1">
      <c r="A33" s="93" t="s">
        <v>614</v>
      </c>
      <c r="B33" s="93"/>
      <c r="C33" s="93" t="s">
        <v>721</v>
      </c>
      <c r="D33" s="93"/>
      <c r="E33" s="93"/>
      <c r="F33" s="93"/>
      <c r="G33" s="93"/>
      <c r="H33" s="93"/>
    </row>
    <row r="34" spans="1:8" ht="25.05" customHeight="1">
      <c r="A34" s="94" t="s">
        <v>620</v>
      </c>
      <c r="B34" s="94"/>
      <c r="C34" s="83" t="s">
        <v>720</v>
      </c>
      <c r="D34" s="83"/>
      <c r="E34" s="83"/>
      <c r="F34" s="83"/>
      <c r="G34" s="83"/>
      <c r="H34" s="83"/>
    </row>
    <row r="35" spans="1:8" ht="25.05" customHeight="1">
      <c r="A35" s="95" t="s">
        <v>621</v>
      </c>
      <c r="B35" s="95"/>
      <c r="C35" s="96" t="s">
        <v>719</v>
      </c>
      <c r="D35" s="96"/>
      <c r="E35" s="96"/>
      <c r="F35" s="96"/>
      <c r="G35" s="96"/>
      <c r="H35" s="96"/>
    </row>
    <row r="36" spans="1:8" ht="25.05" customHeight="1">
      <c r="A36" s="94" t="s">
        <v>622</v>
      </c>
      <c r="B36" s="94"/>
      <c r="C36" s="83" t="s">
        <v>718</v>
      </c>
      <c r="D36" s="83"/>
      <c r="E36" s="83"/>
      <c r="F36" s="83"/>
      <c r="G36" s="83"/>
      <c r="H36" s="83"/>
    </row>
    <row r="37" spans="1:8" ht="25.05" customHeight="1">
      <c r="A37" s="95" t="s">
        <v>628</v>
      </c>
      <c r="B37" s="95"/>
      <c r="C37" s="96" t="s">
        <v>717</v>
      </c>
      <c r="D37" s="96"/>
      <c r="E37" s="96"/>
      <c r="F37" s="96"/>
      <c r="G37" s="96"/>
      <c r="H37" s="96"/>
    </row>
    <row r="38" spans="1:8" ht="25.05" customHeight="1">
      <c r="A38" s="94" t="s">
        <v>716</v>
      </c>
      <c r="B38" s="94"/>
      <c r="C38" s="83" t="s">
        <v>715</v>
      </c>
      <c r="D38" s="83"/>
      <c r="E38" s="83"/>
      <c r="F38" s="83"/>
      <c r="G38" s="83"/>
      <c r="H38" s="83"/>
    </row>
    <row r="39" spans="1:8" ht="30" customHeight="1">
      <c r="A39" s="95" t="s">
        <v>714</v>
      </c>
      <c r="B39" s="95"/>
      <c r="C39" s="96" t="s">
        <v>713</v>
      </c>
      <c r="D39" s="96"/>
      <c r="E39" s="96"/>
      <c r="F39" s="96"/>
      <c r="G39" s="96"/>
      <c r="H39" s="96"/>
    </row>
    <row r="40" spans="1:8" ht="14.4">
      <c r="A40" s="80"/>
      <c r="B40" s="80"/>
      <c r="C40" s="80"/>
      <c r="D40" s="80"/>
      <c r="E40" s="80"/>
      <c r="F40" s="80"/>
      <c r="G40" s="80"/>
      <c r="H40" s="80"/>
    </row>
    <row r="41" spans="1:8" ht="24" customHeight="1">
      <c r="A41" s="81" t="s">
        <v>712</v>
      </c>
      <c r="B41" s="81"/>
      <c r="C41" s="81"/>
      <c r="D41" s="81"/>
      <c r="E41" s="81"/>
      <c r="F41" s="81"/>
      <c r="G41" s="81"/>
      <c r="H41" s="81"/>
    </row>
    <row r="42" spans="1:8" ht="22.95" customHeight="1">
      <c r="A42" s="93" t="s">
        <v>711</v>
      </c>
      <c r="B42" s="93"/>
      <c r="C42" s="93" t="s">
        <v>710</v>
      </c>
      <c r="D42" s="93"/>
      <c r="E42" s="93"/>
      <c r="F42" s="93"/>
      <c r="G42" s="93"/>
      <c r="H42" s="93"/>
    </row>
    <row r="43" spans="1:8" ht="25.05" customHeight="1">
      <c r="A43" s="94" t="s">
        <v>709</v>
      </c>
      <c r="B43" s="94"/>
      <c r="C43" s="83" t="s">
        <v>708</v>
      </c>
      <c r="D43" s="83"/>
      <c r="E43" s="83"/>
      <c r="F43" s="83"/>
      <c r="G43" s="83"/>
      <c r="H43" s="83"/>
    </row>
    <row r="44" spans="1:8" ht="25.05" customHeight="1">
      <c r="A44" s="95" t="s">
        <v>707</v>
      </c>
      <c r="B44" s="95"/>
      <c r="C44" s="96" t="s">
        <v>706</v>
      </c>
      <c r="D44" s="96"/>
      <c r="E44" s="96"/>
      <c r="F44" s="96"/>
      <c r="G44" s="96"/>
      <c r="H44" s="96"/>
    </row>
    <row r="45" spans="1:8" ht="25.05" customHeight="1">
      <c r="A45" s="94" t="s">
        <v>705</v>
      </c>
      <c r="B45" s="94"/>
      <c r="C45" s="83" t="s">
        <v>704</v>
      </c>
      <c r="D45" s="83"/>
      <c r="E45" s="83"/>
      <c r="F45" s="83"/>
      <c r="G45" s="83"/>
      <c r="H45" s="83"/>
    </row>
    <row r="46" spans="1:8" ht="25.05" customHeight="1">
      <c r="A46" s="95" t="s">
        <v>703</v>
      </c>
      <c r="B46" s="95"/>
      <c r="C46" s="96" t="s">
        <v>702</v>
      </c>
      <c r="D46" s="96"/>
      <c r="E46" s="96"/>
      <c r="F46" s="96"/>
      <c r="G46" s="96"/>
      <c r="H46" s="96"/>
    </row>
    <row r="47" spans="1:8" ht="25.05" customHeight="1">
      <c r="A47" s="94" t="s">
        <v>701</v>
      </c>
      <c r="B47" s="94"/>
      <c r="C47" s="83" t="s">
        <v>700</v>
      </c>
      <c r="D47" s="83"/>
      <c r="E47" s="83"/>
      <c r="F47" s="83"/>
      <c r="G47" s="83"/>
      <c r="H47" s="83"/>
    </row>
    <row r="48" spans="1:8" ht="25.05" customHeight="1">
      <c r="A48" s="95" t="s">
        <v>699</v>
      </c>
      <c r="B48" s="95"/>
      <c r="C48" s="96" t="s">
        <v>698</v>
      </c>
      <c r="D48" s="96"/>
      <c r="E48" s="96"/>
      <c r="F48" s="96"/>
      <c r="G48" s="96"/>
      <c r="H48" s="96"/>
    </row>
    <row r="49" spans="1:8" ht="25.05" customHeight="1">
      <c r="A49" s="94" t="s">
        <v>697</v>
      </c>
      <c r="B49" s="94"/>
      <c r="C49" s="83" t="s">
        <v>696</v>
      </c>
      <c r="D49" s="83"/>
      <c r="E49" s="83"/>
      <c r="F49" s="83"/>
      <c r="G49" s="83"/>
      <c r="H49" s="83"/>
    </row>
    <row r="50" spans="1:8" ht="14.4">
      <c r="A50" s="80"/>
      <c r="B50" s="80"/>
      <c r="C50" s="80"/>
      <c r="D50" s="80"/>
      <c r="E50" s="80"/>
      <c r="F50" s="80"/>
      <c r="G50" s="80"/>
      <c r="H50" s="80"/>
    </row>
    <row r="51" spans="1:8" ht="24" customHeight="1">
      <c r="A51" s="81" t="s">
        <v>695</v>
      </c>
      <c r="B51" s="81"/>
      <c r="C51" s="81"/>
      <c r="D51" s="81"/>
      <c r="E51" s="81"/>
      <c r="F51" s="81"/>
      <c r="G51" s="81"/>
      <c r="H51" s="81"/>
    </row>
    <row r="52" spans="1:8" ht="25.05" customHeight="1">
      <c r="A52" s="83" t="s">
        <v>694</v>
      </c>
      <c r="B52" s="83"/>
      <c r="C52" s="83"/>
      <c r="D52" s="83"/>
      <c r="E52" s="83"/>
      <c r="F52" s="83"/>
      <c r="G52" s="83"/>
      <c r="H52" s="83"/>
    </row>
    <row r="53" spans="1:8" ht="28.05" customHeight="1">
      <c r="A53" s="96" t="s">
        <v>693</v>
      </c>
      <c r="B53" s="96"/>
      <c r="C53" s="96"/>
      <c r="D53" s="96"/>
      <c r="E53" s="96"/>
      <c r="F53" s="96"/>
      <c r="G53" s="96"/>
      <c r="H53" s="96"/>
    </row>
    <row r="54" spans="1:8" ht="25.05" customHeight="1">
      <c r="A54" s="83" t="s">
        <v>692</v>
      </c>
      <c r="B54" s="83"/>
      <c r="C54" s="83"/>
      <c r="D54" s="83"/>
      <c r="E54" s="83"/>
      <c r="F54" s="83"/>
      <c r="G54" s="83"/>
      <c r="H54" s="83"/>
    </row>
    <row r="55" spans="1:8" ht="28.05" customHeight="1">
      <c r="A55" s="96" t="s">
        <v>691</v>
      </c>
      <c r="B55" s="96"/>
      <c r="C55" s="96"/>
      <c r="D55" s="96"/>
      <c r="E55" s="96"/>
      <c r="F55" s="96"/>
      <c r="G55" s="96"/>
      <c r="H55" s="96"/>
    </row>
    <row r="56" spans="1:8" ht="14.4">
      <c r="A56" s="80"/>
      <c r="B56" s="80"/>
      <c r="C56" s="80"/>
      <c r="D56" s="80"/>
      <c r="E56" s="80"/>
      <c r="F56" s="80"/>
      <c r="G56" s="80"/>
      <c r="H56" s="80"/>
    </row>
    <row r="57" spans="1:8" ht="24" customHeight="1">
      <c r="A57" s="81" t="s">
        <v>690</v>
      </c>
      <c r="B57" s="81"/>
      <c r="C57" s="81"/>
      <c r="D57" s="81"/>
      <c r="E57" s="81"/>
      <c r="F57" s="81"/>
      <c r="G57" s="81"/>
      <c r="H57" s="81"/>
    </row>
    <row r="58" spans="1:8" ht="25.05" customHeight="1">
      <c r="A58" s="83" t="s">
        <v>689</v>
      </c>
      <c r="B58" s="83"/>
      <c r="C58" s="83"/>
      <c r="D58" s="83"/>
      <c r="E58" s="83"/>
      <c r="F58" s="83"/>
      <c r="G58" s="83"/>
      <c r="H58" s="83"/>
    </row>
    <row r="59" spans="1:8" ht="25.05" customHeight="1">
      <c r="A59" s="96" t="s">
        <v>688</v>
      </c>
      <c r="B59" s="96"/>
      <c r="C59" s="96"/>
      <c r="D59" s="96"/>
      <c r="E59" s="96"/>
      <c r="F59" s="96"/>
      <c r="G59" s="96"/>
      <c r="H59" s="96"/>
    </row>
    <row r="60" spans="1:8" ht="25.05" customHeight="1">
      <c r="A60" s="83" t="s">
        <v>687</v>
      </c>
      <c r="B60" s="83"/>
      <c r="C60" s="83"/>
      <c r="D60" s="83"/>
      <c r="E60" s="83"/>
      <c r="F60" s="83"/>
      <c r="G60" s="83"/>
      <c r="H60" s="83"/>
    </row>
    <row r="61" spans="1:8" ht="25.05" customHeight="1">
      <c r="A61" s="96" t="s">
        <v>686</v>
      </c>
      <c r="B61" s="96"/>
      <c r="C61" s="96"/>
      <c r="D61" s="96"/>
      <c r="E61" s="96"/>
      <c r="F61" s="96"/>
      <c r="G61" s="96"/>
      <c r="H61" s="96"/>
    </row>
    <row r="62" spans="1:8" ht="14.4">
      <c r="A62" s="80"/>
      <c r="B62" s="80"/>
      <c r="C62" s="80"/>
      <c r="D62" s="80"/>
      <c r="E62" s="80"/>
      <c r="F62" s="80"/>
      <c r="G62" s="80"/>
      <c r="H62" s="80"/>
    </row>
    <row r="63" spans="1:8" ht="24" customHeight="1">
      <c r="A63" s="81" t="s">
        <v>685</v>
      </c>
      <c r="B63" s="81"/>
      <c r="C63" s="81"/>
      <c r="D63" s="81"/>
      <c r="E63" s="81"/>
      <c r="F63" s="81"/>
      <c r="G63" s="81"/>
      <c r="H63" s="81"/>
    </row>
    <row r="64" spans="1:8">
      <c r="A64" s="84" t="s">
        <v>684</v>
      </c>
      <c r="B64" s="85"/>
      <c r="C64" s="85"/>
      <c r="D64" s="85"/>
      <c r="E64" s="85"/>
      <c r="F64" s="85"/>
      <c r="G64" s="85"/>
      <c r="H64" s="86"/>
    </row>
    <row r="65" spans="1:8">
      <c r="A65" s="87"/>
      <c r="B65" s="88"/>
      <c r="C65" s="88"/>
      <c r="D65" s="88"/>
      <c r="E65" s="88"/>
      <c r="F65" s="88"/>
      <c r="G65" s="88"/>
      <c r="H65" s="89"/>
    </row>
    <row r="66" spans="1:8">
      <c r="A66" s="90"/>
      <c r="B66" s="91"/>
      <c r="C66" s="91"/>
      <c r="D66" s="91"/>
      <c r="E66" s="91"/>
      <c r="F66" s="91"/>
      <c r="G66" s="91"/>
      <c r="H66" s="92"/>
    </row>
    <row r="67" spans="1:8" ht="14.4">
      <c r="A67" s="80"/>
      <c r="B67" s="80"/>
      <c r="C67" s="80"/>
      <c r="D67" s="80"/>
      <c r="E67" s="80"/>
      <c r="F67" s="80"/>
      <c r="G67" s="80"/>
      <c r="H67" s="80"/>
    </row>
    <row r="68" spans="1:8">
      <c r="A68" s="97"/>
      <c r="B68" s="97"/>
      <c r="C68" s="97"/>
      <c r="D68" s="97"/>
      <c r="E68" s="97"/>
      <c r="F68" s="97"/>
      <c r="G68" s="97"/>
      <c r="H68" s="97"/>
    </row>
  </sheetData>
  <mergeCells count="86">
    <mergeCell ref="C8:H8"/>
    <mergeCell ref="A1:H1"/>
    <mergeCell ref="A2:H2"/>
    <mergeCell ref="A4:H4"/>
    <mergeCell ref="A5:B5"/>
    <mergeCell ref="C5:H5"/>
    <mergeCell ref="A9:B9"/>
    <mergeCell ref="C9:H9"/>
    <mergeCell ref="A11:H11"/>
    <mergeCell ref="A12:H14"/>
    <mergeCell ref="A16:H16"/>
    <mergeCell ref="A6:B6"/>
    <mergeCell ref="C6:H6"/>
    <mergeCell ref="A7:B7"/>
    <mergeCell ref="C7:H7"/>
    <mergeCell ref="A8:B8"/>
    <mergeCell ref="A17:B17"/>
    <mergeCell ref="C17:H17"/>
    <mergeCell ref="A18:B18"/>
    <mergeCell ref="C18:H18"/>
    <mergeCell ref="A19:B19"/>
    <mergeCell ref="C19:H19"/>
    <mergeCell ref="A20:B20"/>
    <mergeCell ref="C20:H20"/>
    <mergeCell ref="A21:B21"/>
    <mergeCell ref="C21:H21"/>
    <mergeCell ref="A22:B22"/>
    <mergeCell ref="C22:H22"/>
    <mergeCell ref="C29:H29"/>
    <mergeCell ref="A23:B23"/>
    <mergeCell ref="C23:H23"/>
    <mergeCell ref="A24:B24"/>
    <mergeCell ref="C24:H24"/>
    <mergeCell ref="A26:H26"/>
    <mergeCell ref="A30:B30"/>
    <mergeCell ref="C30:H30"/>
    <mergeCell ref="A32:H32"/>
    <mergeCell ref="A33:B33"/>
    <mergeCell ref="C33:H33"/>
    <mergeCell ref="A27:B27"/>
    <mergeCell ref="C27:H27"/>
    <mergeCell ref="A28:B28"/>
    <mergeCell ref="C28:H28"/>
    <mergeCell ref="A29:B29"/>
    <mergeCell ref="C39:H39"/>
    <mergeCell ref="A34:B34"/>
    <mergeCell ref="C34:H34"/>
    <mergeCell ref="A35:B35"/>
    <mergeCell ref="C35:H35"/>
    <mergeCell ref="A36:B36"/>
    <mergeCell ref="C36:H36"/>
    <mergeCell ref="A41:H41"/>
    <mergeCell ref="A42:B42"/>
    <mergeCell ref="C42:H42"/>
    <mergeCell ref="A43:B43"/>
    <mergeCell ref="C43:H43"/>
    <mergeCell ref="A37:B37"/>
    <mergeCell ref="C37:H37"/>
    <mergeCell ref="A38:B38"/>
    <mergeCell ref="C38:H38"/>
    <mergeCell ref="A39:B39"/>
    <mergeCell ref="C49:H49"/>
    <mergeCell ref="A44:B44"/>
    <mergeCell ref="C44:H44"/>
    <mergeCell ref="A45:B45"/>
    <mergeCell ref="C45:H45"/>
    <mergeCell ref="A46:B46"/>
    <mergeCell ref="C46:H46"/>
    <mergeCell ref="A51:H51"/>
    <mergeCell ref="A52:H52"/>
    <mergeCell ref="A53:H53"/>
    <mergeCell ref="A54:H54"/>
    <mergeCell ref="A55:H55"/>
    <mergeCell ref="A47:B47"/>
    <mergeCell ref="C47:H47"/>
    <mergeCell ref="A48:B48"/>
    <mergeCell ref="C48:H48"/>
    <mergeCell ref="A49:B49"/>
    <mergeCell ref="A63:H63"/>
    <mergeCell ref="A64:H66"/>
    <mergeCell ref="A68:H68"/>
    <mergeCell ref="A57:H57"/>
    <mergeCell ref="A58:H58"/>
    <mergeCell ref="A59:H59"/>
    <mergeCell ref="A60:H60"/>
    <mergeCell ref="A61:H6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4B85DC-AE50-4394-9F1E-8E6CFE5EEC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Raw_Data</vt:lpstr>
      <vt:lpstr>Clean_Data</vt:lpstr>
      <vt:lpstr>Country_Lookup</vt:lpstr>
      <vt:lpstr>Dynamic_Analysis</vt:lpstr>
      <vt:lpstr>Validation</vt:lpstr>
      <vt:lpstr>Insights</vt:lpstr>
      <vt:lpstr>Documentation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Fatemeh-Kamrani</dc:creator>
  <cp:lastModifiedBy>Fatemeh-Kamrani</cp:lastModifiedBy>
  <dcterms:created xsi:type="dcterms:W3CDTF">2026-01-13T09:37:23Z</dcterms:created>
  <dcterms:modified xsi:type="dcterms:W3CDTF">2026-08-14T18:03:03Z</dcterms:modified>
</cp:coreProperties>
</file>